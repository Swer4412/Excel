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D85A09C2-033E-41F6-8543-72BAA5596D30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15-09-2023 14.25.54" sheetId="133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<sst xmlns="http://schemas.openxmlformats.org/spreadsheetml/2006/main" count="918" uniqueCount="377">
  <si>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</si>
  <si>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</si>
  <si>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</si>
  <si>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</si>
  <si>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</si>
  <si>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</si>
  <si>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</si>
  <si>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</si>
  <si>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</si>
  <si>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</si>
  <si>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</si>
  <si>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</si>
  <si>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</si>
  <si>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</si>
  <si>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</si>
  <si>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</si>
  <si>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</si>
  <si>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</si>
  <si>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</si>
  <si>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</si>
  <si>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</si>
  <si>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</si>
  <si>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</si>
  <si>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</si>
  <si>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</si>
  <si>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</si>
  <si>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</si>
  <si>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</si>
  <si>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</si>
  <si>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</si>
  <si>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</si>
  <si>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</si>
  <si>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</si>
  <si>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</si>
  <si>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</si>
  <si>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</si>
  <si>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</si>
  <si>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</si>
  <si>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</si>
  <si>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</si>
  <si>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</si>
  <si>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</si>
  <si>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</si>
  <si>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</si>
  <si>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</si>
  <si>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</si>
  <si>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</si>
  <si>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</si>
  <si>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</si>
  <si>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</si>
  <si>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</si>
  <si>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</si>
  <si>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</si>
  <si>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</si>
  <si>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</si>
  <si>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</si>
  <si>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</si>
  <si>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</si>
  <si>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</si>
  <si>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</si>
  <si>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</si>
  <si>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</si>
  <si>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</si>
  <si>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</si>
  <si>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</si>
  <si>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</si>
  <si>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</si>
  <si>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</si>
  <si>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</si>
  <si>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</si>
  <si>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</si>
  <si>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</si>
  <si>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</si>
  <si>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</si>
  <si>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</si>
  <si>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</si>
  <si>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</si>
  <si>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</si>
  <si>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</si>
  <si>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</si>
  <si>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</si>
  <si>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</si>
  <si>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</si>
  <si>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</si>
  <si>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</si>
  <si>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</si>
  <si>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</si>
  <si>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</si>
  <si>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</si>
  <si>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</si>
  <si>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</si>
  <si>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</si>
  <si>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</si>
  <si>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</si>
  <si>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</si>
  <si>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</si>
  <si>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</si>
  <si>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</si>
  <si>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</si>
  <si>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</si>
  <si>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</si>
  <si>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</si>
  <si>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</si>
  <si>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</si>
  <si>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</si>
  <si>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</si>
  <si>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</si>
  <si>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</si>
  <si>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</si>
  <si>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</si>
  <si>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</si>
  <si>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</si>
  <si>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</si>
  <si>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</si>
  <si>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</si>
  <si>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</si>
  <si>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</si>
  <si>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</si>
  <si>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</si>
  <si>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</si>
  <si>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</si>
  <si>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</si>
  <si>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</si>
  <si>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</si>
  <si>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</si>
  <si>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</si>
  <si>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</si>
  <si>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</si>
  <si>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</si>
  <si>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</si>
  <si>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</si>
  <si>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</si>
  <si>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</si>
  <si>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</si>
  <si>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</si>
  <si>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</si>
  <si>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</si>
  <si>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</si>
  <si>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</si>
  <si>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</si>
  <si>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</si>
  <si>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</si>
  <si>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</si>
  <si>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</si>
  <si>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</si>
  <si>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</si>
  <si>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</si>
  <si>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</si>
  <si>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</si>
  <si>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</si>
  <si>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</si>
  <si>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</si>
  <si>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</si>
  <si>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</si>
  <si>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</si>
  <si>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</si>
  <si>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</si>
  <si>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</si>
  <si>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</si>
  <si>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</si>
  <si>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</si>
  <si>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</si>
  <si>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</si>
  <si>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</si>
  <si>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</si>
  <si>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</si>
  <si>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</si>
  <si>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</si>
  <si>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</si>
  <si>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</si>
  <si>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</si>
  <si>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</si>
  <si>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</si>
  <si>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</si>
  <si>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</si>
  <si>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</si>
  <si>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</si>
  <si>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</si>
  <si>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</si>
  <si>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</si>
  <si>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</si>
  <si>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</si>
  <si>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</si>
  <si>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</si>
  <si>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</si>
  <si>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</si>
  <si>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</si>
  <si>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</si>
  <si>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</si>
  <si>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</si>
  <si>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</si>
  <si>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</si>
  <si>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</si>
  <si>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</si>
  <si>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</si>
  <si>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</si>
  <si>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</si>
  <si>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</si>
  <si>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</si>
  <si>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</si>
  <si>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</si>
  <si>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</si>
  <si>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</si>
  <si>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</si>
  <si>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</si>
  <si>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</si>
  <si>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</si>
  <si>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</si>
  <si>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</si>
  <si>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</si>
  <si>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</si>
  <si>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</si>
  <si>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</si>
  <si>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</si>
  <si>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</si>
  <si>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</si>
  <si>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</si>
  <si>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</si>
  <si>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</si>
  <si>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</si>
  <si>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</si>
  <si>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</si>
  <si>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</si>
  <si>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</si>
  <si>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</si>
  <si>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</si>
  <si>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</si>
  <si>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</si>
  <si>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</si>
  <si>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</si>
  <si>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</si>
  <si>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</si>
  <si>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</si>
  <si>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</si>
  <si>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</si>
  <si>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</si>
  <si>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</si>
  <si>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</si>
  <si>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</si>
  <si>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</si>
  <si>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</si>
  <si>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</si>
  <si>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</si>
  <si>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</si>
  <si>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</si>
  <si>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</si>
  <si>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</si>
  <si>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</si>
  <si>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</si>
  <si>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</si>
  <si>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</si>
  <si>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</si>
  <si>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</si>
  <si>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</si>
  <si>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</si>
  <si>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</si>
  <si>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</si>
  <si>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</si>
  <si>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</si>
  <si>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</si>
  <si>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</si>
  <si>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</si>
  <si>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</si>
  <si>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</si>
  <si>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</si>
  <si>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</si>
  <si>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</si>
  <si>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</si>
  <si>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</si>
  <si>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</si>
  <si>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</si>
  <si>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</si>
  <si>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</si>
  <si>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</si>
  <si>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</si>
  <si>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</si>
  <si>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</si>
  <si>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</si>
  <si>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</si>
  <si>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</si>
  <si>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</si>
  <si>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</si>
  <si>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</si>
  <si>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</si>
  <si>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</si>
  <si>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</si>
  <si>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</si>
  <si>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</si>
  <si>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</si>
  <si>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</si>
  <si>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</si>
  <si>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</si>
  <si>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</si>
  <si>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</si>
  <si>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</si>
  <si>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Email</t>
  </si>
  <si>
    <t>Pagine nero</t>
  </si>
  <si>
    <t>Pagine colore</t>
  </si>
  <si>
    <t>Riga corrispondente</t>
  </si>
  <si>
    <t>Numero seriale</t>
  </si>
  <si>
    <t>Data email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</si>
  <si>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</si>
  <si>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</si>
  <si>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</si>
  <si>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</si>
  <si>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</si>
  <si>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VFL7811819</t>
  </si>
  <si>
    <t xml:space="preserve">          VFL7913139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</si>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</sst>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22" fontId="0" fillId="0" borderId="0" xfId="0" applyNumberFormat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0" fontId="31" fillId="0" borderId="0" xfId="0" applyFont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zoomScale="85" zoomScaleNormal="85" workbookViewId="0">
      <selection activeCell="G18" sqref="G18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308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309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310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8">
        <v>5000</v>
      </c>
      <c r="P4" s="269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311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312</v>
      </c>
      <c r="AS5" s="7" t="s">
        <v>313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314</v>
      </c>
      <c r="AS6" s="53" t="s">
        <v>315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316</v>
      </c>
      <c r="AS7" s="53" t="s">
        <v>315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317</v>
      </c>
      <c r="AS8" s="7" t="s">
        <v>318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9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319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320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321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322</v>
      </c>
      <c r="AS12" s="53" t="s">
        <v>323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324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325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326</v>
      </c>
      <c r="AS15" s="270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327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328</v>
      </c>
      <c r="AS17" s="53" t="s">
        <v>323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329</v>
      </c>
      <c r="AS18" s="189">
        <v>0</v>
      </c>
      <c r="AT18" s="189"/>
      <c r="AU18" s="189"/>
    </row>
    <row r="19" spans="2:47" x14ac:dyDescent="0.25">
      <c r="B19" s="7" t="s">
        <v>330</v>
      </c>
      <c r="C19" s="174" t="s">
        <v>53</v>
      </c>
      <c r="D19" s="38" t="s">
        <v>194</v>
      </c>
      <c r="E19" s="218"/>
      <c r="F19" s="38" t="s">
        <v>331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8">
        <v>5000</v>
      </c>
      <c r="P19" s="269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332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333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334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335</v>
      </c>
      <c r="AS22" s="125" t="s">
        <v>336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337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338</v>
      </c>
      <c r="AS24" s="53" t="s">
        <v>339</v>
      </c>
    </row>
    <row r="25" spans="2:47" x14ac:dyDescent="0.25">
      <c r="B25" s="7" t="s">
        <v>340</v>
      </c>
      <c r="C25" s="174" t="s">
        <v>283</v>
      </c>
      <c r="D25" s="192" t="s">
        <v>341</v>
      </c>
      <c r="E25" s="271"/>
      <c r="F25" s="125" t="s">
        <v>342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2">
        <v>230</v>
      </c>
      <c r="N25" s="272"/>
      <c r="O25" s="273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338</v>
      </c>
      <c r="AS25" s="53" t="s">
        <v>339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8">
        <v>5000</v>
      </c>
      <c r="P26" s="269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343</v>
      </c>
      <c r="AS26" s="125" t="s">
        <v>344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345</v>
      </c>
      <c r="AS27" s="53" t="s">
        <v>346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347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4">
        <v>45231</v>
      </c>
      <c r="L29" s="100">
        <v>3</v>
      </c>
      <c r="M29" s="101"/>
      <c r="N29" s="101">
        <v>200</v>
      </c>
      <c r="O29" s="268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5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8">
        <v>5000</v>
      </c>
      <c r="P30" s="276">
        <v>8.9999999999999993E-3</v>
      </c>
      <c r="Q30" s="277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348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8">
        <v>5000</v>
      </c>
      <c r="P31" s="276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349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8">
        <v>5000</v>
      </c>
      <c r="P32" s="269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350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8">
        <v>5000</v>
      </c>
      <c r="P33" s="269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351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8">
        <v>0</v>
      </c>
      <c r="P34" s="269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352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1"/>
      <c r="F35" s="192" t="s">
        <v>353</v>
      </c>
      <c r="G35" s="192" t="s">
        <v>354</v>
      </c>
      <c r="H35" s="199">
        <v>45135</v>
      </c>
      <c r="I35" s="278">
        <f t="shared" si="14"/>
        <v>130</v>
      </c>
      <c r="J35" s="279">
        <f t="shared" si="15"/>
        <v>7.8E-2</v>
      </c>
      <c r="K35" s="280">
        <v>46596</v>
      </c>
      <c r="L35" s="100">
        <v>3</v>
      </c>
      <c r="M35" s="101"/>
      <c r="N35" s="101">
        <v>390</v>
      </c>
      <c r="O35" s="268">
        <v>5000</v>
      </c>
      <c r="P35" s="269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355</v>
      </c>
      <c r="AS36" s="53" t="s">
        <v>346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8">
        <f>5000/3</f>
        <v>1666.6666666666667</v>
      </c>
      <c r="P37" s="269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356</v>
      </c>
      <c r="AS37">
        <v>0</v>
      </c>
      <c r="AT37" s="35"/>
    </row>
    <row r="38" spans="2:46" x14ac:dyDescent="0.25">
      <c r="B38" t="s">
        <v>357</v>
      </c>
      <c r="C38" s="174" t="s">
        <v>358</v>
      </c>
      <c r="D38" s="38" t="s">
        <v>194</v>
      </c>
      <c r="E38" s="218"/>
      <c r="F38" s="38" t="s">
        <v>359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8">
        <v>5000</v>
      </c>
      <c r="P38" s="269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360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8">
        <v>5000</v>
      </c>
      <c r="P39" s="269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361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4">
        <v>45342</v>
      </c>
      <c r="L40" s="100">
        <v>3</v>
      </c>
      <c r="M40" s="101"/>
      <c r="N40" s="101">
        <v>150</v>
      </c>
      <c r="O40" s="268">
        <v>3000</v>
      </c>
      <c r="P40" s="269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5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8">
        <v>3000</v>
      </c>
      <c r="P41" s="269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5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4">
        <v>45657</v>
      </c>
      <c r="L42" s="100">
        <v>3</v>
      </c>
      <c r="M42" s="101"/>
      <c r="N42" s="101">
        <v>200</v>
      </c>
      <c r="O42" s="268">
        <v>3000</v>
      </c>
      <c r="P42" s="269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362</v>
      </c>
      <c r="AS42">
        <v>0</v>
      </c>
      <c r="AT42" s="35"/>
    </row>
    <row r="43" spans="2:46" x14ac:dyDescent="0.25">
      <c r="B43" t="s">
        <v>363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8">
        <v>5000</v>
      </c>
      <c r="P43" s="269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5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9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364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9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365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4">
        <v>45261</v>
      </c>
      <c r="L46" s="100">
        <v>3</v>
      </c>
      <c r="M46" s="101"/>
      <c r="N46" s="101">
        <v>200</v>
      </c>
      <c r="O46" s="268">
        <v>3000</v>
      </c>
      <c r="P46" s="269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366</v>
      </c>
      <c r="AS46" s="53" t="s">
        <v>346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8">
        <v>6000</v>
      </c>
      <c r="P47" s="269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5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8">
        <v>5000</v>
      </c>
      <c r="P48" s="269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5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8">
        <v>5000</v>
      </c>
      <c r="P49" s="269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5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4">
        <v>45107</v>
      </c>
      <c r="L50" s="100">
        <v>1</v>
      </c>
      <c r="M50" s="101">
        <v>140</v>
      </c>
      <c r="N50" s="101">
        <v>0</v>
      </c>
      <c r="O50" s="268">
        <v>5000</v>
      </c>
      <c r="P50" s="269">
        <v>0.01</v>
      </c>
      <c r="Q50" s="277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5">
        <v>44942</v>
      </c>
      <c r="AR50" s="7" t="s">
        <v>367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4">
        <v>45458</v>
      </c>
      <c r="L51" s="100">
        <v>1</v>
      </c>
      <c r="M51" s="101">
        <v>120</v>
      </c>
      <c r="N51" s="101">
        <v>0</v>
      </c>
      <c r="O51" s="268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5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4">
        <v>45702</v>
      </c>
      <c r="L52" s="100">
        <v>3</v>
      </c>
      <c r="M52" s="101"/>
      <c r="N52" s="101">
        <v>240</v>
      </c>
      <c r="O52" s="268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5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4">
        <v>45413</v>
      </c>
      <c r="L53" s="100">
        <v>3</v>
      </c>
      <c r="M53" s="101"/>
      <c r="N53" s="101">
        <v>200</v>
      </c>
      <c r="O53" s="268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368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4">
        <v>45107</v>
      </c>
      <c r="L54" s="100">
        <v>3</v>
      </c>
      <c r="M54" s="101"/>
      <c r="N54" s="101">
        <v>200</v>
      </c>
      <c r="O54" s="268">
        <v>3000</v>
      </c>
      <c r="P54" s="269">
        <v>0.01</v>
      </c>
      <c r="Q54" s="277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369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370</v>
      </c>
      <c r="AS55" s="53" t="s">
        <v>371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372</v>
      </c>
      <c r="AS56" s="53" t="s">
        <v>371</v>
      </c>
    </row>
    <row r="57" spans="2:46" x14ac:dyDescent="0.25">
      <c r="E57" s="265"/>
      <c r="O57" s="281"/>
      <c r="P57" s="282"/>
      <c r="Q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</row>
    <row r="58" spans="2:46" x14ac:dyDescent="0.25">
      <c r="O58" s="281"/>
      <c r="P58" s="282"/>
      <c r="Q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</row>
    <row r="59" spans="2:46" x14ac:dyDescent="0.25">
      <c r="O59" s="281"/>
      <c r="P59" s="282"/>
      <c r="Q59" s="282"/>
      <c r="S59" s="282"/>
      <c r="T59" s="282"/>
      <c r="U59" s="282"/>
      <c r="V59" s="115"/>
      <c r="W59" s="246"/>
      <c r="X59" s="246"/>
      <c r="Y59" s="282"/>
      <c r="Z59" s="282"/>
      <c r="AA59" s="282"/>
      <c r="AB59" s="282"/>
    </row>
    <row r="60" spans="2:46" x14ac:dyDescent="0.25">
      <c r="B60" s="164" t="s">
        <v>373</v>
      </c>
      <c r="C60" s="53" t="s">
        <v>283</v>
      </c>
      <c r="D60" s="192" t="s">
        <v>194</v>
      </c>
      <c r="E60" s="271"/>
      <c r="F60" s="192" t="s">
        <v>284</v>
      </c>
      <c r="G60" s="283" t="s">
        <v>374</v>
      </c>
      <c r="H60" s="199">
        <v>44971</v>
      </c>
      <c r="I60" s="278">
        <f>IF(M60="",N60/L60,M60)</f>
        <v>230</v>
      </c>
      <c r="J60" s="279">
        <f>I60/(O60/L60)</f>
        <v>0.23</v>
      </c>
      <c r="K60" s="280">
        <v>46432</v>
      </c>
      <c r="L60" s="284">
        <v>1</v>
      </c>
      <c r="M60" s="272">
        <v>230</v>
      </c>
      <c r="N60" s="272"/>
      <c r="O60" s="273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5">
        <f>AF60*P60</f>
        <v>2.6883694937541094</v>
      </c>
      <c r="AI60" s="285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340</v>
      </c>
      <c r="C61" s="174" t="s">
        <v>283</v>
      </c>
      <c r="D61" s="38" t="s">
        <v>341</v>
      </c>
      <c r="G61" s="286" t="s">
        <v>375</v>
      </c>
      <c r="O61" s="281"/>
      <c r="P61" s="282"/>
      <c r="Q61" s="282"/>
      <c r="S61" s="282"/>
      <c r="T61" s="282"/>
      <c r="U61" s="282"/>
      <c r="V61" s="252">
        <v>45112</v>
      </c>
      <c r="W61" s="266">
        <v>17708</v>
      </c>
      <c r="X61" s="266">
        <v>4099</v>
      </c>
      <c r="Y61" s="282" t="s">
        <v>376</v>
      </c>
      <c r="Z61" s="282"/>
      <c r="AA61" s="282"/>
      <c r="AB61" s="282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1"/>
      <c r="P62" s="282"/>
      <c r="Q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I11" sqref="I11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2C89A-2248-468B-9A42-6659D74E6912}">
  <sheetPr codeName="Foglio16"/>
  <dimension ref="A1:N36"/>
  <sheetViews>
    <sheetView tabSelected="1" workbookViewId="0">
      <selection activeCell="G25" sqref="G25:H25"/>
    </sheetView>
  </sheetViews>
  <sheetFormatPr defaultRowHeight="15" x14ac:dyDescent="0.25"/>
  <cols>
    <col min="2" max="2" width="22.7109375" customWidth="1"/>
  </cols>
  <sheetData>
    <row r="1" spans="1:14" x14ac:dyDescent="0.25">
      <c r="A1" t="s">
        <v>295</v>
      </c>
      <c r="B1" t="s">
        <v>299</v>
      </c>
      <c r="C1" t="s">
        <v>300</v>
      </c>
      <c r="D1" t="s">
        <v>296</v>
      </c>
      <c r="E1" t="s">
        <v>297</v>
      </c>
      <c r="F1" t="s">
        <v>298</v>
      </c>
    </row>
    <row r="2" spans="1:14" x14ac:dyDescent="0.25">
      <c r="A2" t="s">
        <v>163</v>
      </c>
      <c r="B2" t="s">
        <v>305</v>
      </c>
      <c r="C2" s="267">
        <v>45122.345775462964</v>
      </c>
      <c r="D2">
        <v>42880</v>
      </c>
      <c r="E2">
        <v>35325</v>
      </c>
      <c r="F2">
        <v>20</v>
      </c>
    </row>
    <row r="3" spans="1:14" x14ac:dyDescent="0.25">
      <c r="A3" t="s">
        <v>173</v>
      </c>
      <c r="B3" t="s">
        <v>301</v>
      </c>
      <c r="C3" s="267">
        <v>45121.683287037034</v>
      </c>
      <c r="D3">
        <v>39532</v>
      </c>
      <c r="E3">
        <v>6051</v>
      </c>
      <c r="F3">
        <v>53</v>
      </c>
    </row>
    <row r="4" spans="1:14" x14ac:dyDescent="0.25">
      <c r="A4" t="s">
        <v>163</v>
      </c>
      <c r="B4" t="s">
        <v>305</v>
      </c>
      <c r="C4" s="267">
        <v>45121.347754629627</v>
      </c>
      <c r="D4">
        <v>42852</v>
      </c>
      <c r="E4">
        <v>35311</v>
      </c>
      <c r="F4">
        <v>20</v>
      </c>
    </row>
    <row r="5" spans="1:14" x14ac:dyDescent="0.25">
      <c r="A5" t="s">
        <v>163</v>
      </c>
      <c r="B5" t="s">
        <v>305</v>
      </c>
      <c r="C5" s="267">
        <v>45120.360694444447</v>
      </c>
      <c r="D5">
        <v>42780</v>
      </c>
      <c r="E5">
        <v>35292</v>
      </c>
      <c r="F5">
        <v>20</v>
      </c>
    </row>
    <row r="6" spans="1:14" x14ac:dyDescent="0.25">
      <c r="A6" t="s">
        <v>170</v>
      </c>
      <c r="B6" t="s">
        <v>304</v>
      </c>
      <c r="C6" s="267">
        <v>45119.637604166666</v>
      </c>
      <c r="D6">
        <v>119468</v>
      </c>
      <c r="E6">
        <v>31704</v>
      </c>
      <c r="F6">
        <v>46</v>
      </c>
    </row>
    <row r="7" spans="1:14" x14ac:dyDescent="0.25">
      <c r="A7" t="s">
        <v>170</v>
      </c>
      <c r="B7" t="s">
        <v>304</v>
      </c>
      <c r="C7" s="267">
        <v>45119.575092592589</v>
      </c>
      <c r="D7">
        <v>119416</v>
      </c>
      <c r="E7">
        <v>31699</v>
      </c>
      <c r="F7">
        <v>46</v>
      </c>
    </row>
    <row r="8" spans="1:14" x14ac:dyDescent="0.25">
      <c r="A8" t="s">
        <v>159</v>
      </c>
      <c r="B8" t="s">
        <v>306</v>
      </c>
      <c r="C8" s="267">
        <v>45119.463009259256</v>
      </c>
      <c r="D8">
        <v>25068</v>
      </c>
      <c r="E8">
        <v>17069</v>
      </c>
      <c r="F8">
        <v>28</v>
      </c>
    </row>
    <row r="9" spans="1:14" x14ac:dyDescent="0.25">
      <c r="A9" t="s">
        <v>163</v>
      </c>
      <c r="B9" t="s">
        <v>305</v>
      </c>
      <c r="C9" s="267">
        <v>45119.373969907407</v>
      </c>
      <c r="D9">
        <v>42761</v>
      </c>
      <c r="E9">
        <v>35271</v>
      </c>
      <c r="F9">
        <v>20</v>
      </c>
    </row>
    <row r="10" spans="1:14" x14ac:dyDescent="0.25">
      <c r="A10" t="s">
        <v>174</v>
      </c>
      <c r="B10" t="s">
        <v>303</v>
      </c>
      <c r="C10" s="267">
        <v>45118.769421296296</v>
      </c>
      <c r="D10">
        <v>102507</v>
      </c>
      <c r="E10">
        <v>44139</v>
      </c>
      <c r="F10">
        <v>54</v>
      </c>
    </row>
    <row r="11" spans="1:14" x14ac:dyDescent="0.25">
      <c r="A11" t="s">
        <v>170</v>
      </c>
      <c r="B11" t="s">
        <v>304</v>
      </c>
      <c r="C11" s="267">
        <v>45118.657881944448</v>
      </c>
      <c r="D11">
        <v>119392</v>
      </c>
      <c r="E11">
        <v>31689</v>
      </c>
      <c r="F11">
        <v>46</v>
      </c>
    </row>
    <row r="12" spans="1:14" x14ac:dyDescent="0.25">
      <c r="A12" t="s">
        <v>170</v>
      </c>
      <c r="B12" t="s">
        <v>304</v>
      </c>
      <c r="C12" s="267">
        <v>45118.651018518518</v>
      </c>
      <c r="D12">
        <v>119324</v>
      </c>
      <c r="E12">
        <v>31689</v>
      </c>
      <c r="F12">
        <v>46</v>
      </c>
    </row>
    <row r="13" spans="1:14" x14ac:dyDescent="0.25">
      <c r="A13" t="s">
        <v>158</v>
      </c>
      <c r="B13" t="s">
        <v>307</v>
      </c>
      <c r="C13" s="267">
        <v>45118.4690162037</v>
      </c>
      <c r="D13">
        <v>131301</v>
      </c>
      <c r="E13">
        <v>19285</v>
      </c>
      <c r="F13">
        <v>10</v>
      </c>
    </row>
    <row r="14" spans="1:14" x14ac:dyDescent="0.25">
      <c r="A14" t="s">
        <v>174</v>
      </c>
      <c r="B14" t="s">
        <v>303</v>
      </c>
      <c r="C14" s="267">
        <v>45118.401365740741</v>
      </c>
      <c r="D14">
        <v>102381</v>
      </c>
      <c r="E14">
        <v>44111</v>
      </c>
      <c r="F14">
        <v>54</v>
      </c>
      <c r="N14" s="287"/>
    </row>
    <row r="15" spans="1:14" x14ac:dyDescent="0.25">
      <c r="A15" t="s">
        <v>163</v>
      </c>
      <c r="B15" t="s">
        <v>305</v>
      </c>
      <c r="C15" s="267">
        <v>45118.360046296293</v>
      </c>
      <c r="D15">
        <v>42743</v>
      </c>
      <c r="E15">
        <v>35257</v>
      </c>
      <c r="F15">
        <v>20</v>
      </c>
    </row>
    <row r="16" spans="1:14" x14ac:dyDescent="0.25">
      <c r="A16" t="s">
        <v>174</v>
      </c>
      <c r="B16" t="s">
        <v>303</v>
      </c>
      <c r="C16" s="267">
        <v>45117.505532407406</v>
      </c>
      <c r="D16">
        <v>102352</v>
      </c>
      <c r="E16">
        <v>44102</v>
      </c>
      <c r="F16">
        <v>54</v>
      </c>
    </row>
    <row r="17" spans="1:6" x14ac:dyDescent="0.25">
      <c r="A17" t="s">
        <v>174</v>
      </c>
      <c r="B17" t="s">
        <v>303</v>
      </c>
      <c r="C17" s="267">
        <v>45117.408321759256</v>
      </c>
      <c r="D17">
        <v>102315</v>
      </c>
      <c r="E17">
        <v>44096</v>
      </c>
      <c r="F17">
        <v>54</v>
      </c>
    </row>
    <row r="18" spans="1:6" x14ac:dyDescent="0.25">
      <c r="A18" t="s">
        <v>174</v>
      </c>
      <c r="B18" t="s">
        <v>303</v>
      </c>
      <c r="C18" s="267">
        <v>45117.376250000001</v>
      </c>
      <c r="D18">
        <v>102312</v>
      </c>
      <c r="E18">
        <v>44096</v>
      </c>
      <c r="F18">
        <v>54</v>
      </c>
    </row>
    <row r="19" spans="1:6" x14ac:dyDescent="0.25">
      <c r="A19" t="s">
        <v>163</v>
      </c>
      <c r="B19" t="s">
        <v>305</v>
      </c>
      <c r="C19" s="267">
        <v>45117.356805555559</v>
      </c>
      <c r="D19">
        <v>42685</v>
      </c>
      <c r="E19">
        <v>35254</v>
      </c>
      <c r="F19">
        <v>20</v>
      </c>
    </row>
    <row r="20" spans="1:6" x14ac:dyDescent="0.25">
      <c r="A20" t="s">
        <v>163</v>
      </c>
      <c r="B20" t="s">
        <v>305</v>
      </c>
      <c r="C20" s="267">
        <v>45117.349942129629</v>
      </c>
      <c r="D20">
        <v>42685</v>
      </c>
      <c r="E20">
        <v>35254</v>
      </c>
      <c r="F20">
        <v>20</v>
      </c>
    </row>
    <row r="21" spans="1:6" x14ac:dyDescent="0.25">
      <c r="A21" t="s">
        <v>170</v>
      </c>
      <c r="B21" t="s">
        <v>304</v>
      </c>
      <c r="C21" s="267">
        <v>45117.29247685185</v>
      </c>
      <c r="D21">
        <v>119235</v>
      </c>
      <c r="E21">
        <v>31651</v>
      </c>
      <c r="F21">
        <v>46</v>
      </c>
    </row>
    <row r="22" spans="1:6" x14ac:dyDescent="0.25">
      <c r="A22" t="s">
        <v>173</v>
      </c>
      <c r="B22" t="s">
        <v>301</v>
      </c>
      <c r="C22" s="267">
        <v>45117.291759259257</v>
      </c>
      <c r="D22">
        <v>39325</v>
      </c>
      <c r="E22">
        <v>6039</v>
      </c>
      <c r="F22">
        <v>53</v>
      </c>
    </row>
    <row r="23" spans="1:6" x14ac:dyDescent="0.25">
      <c r="A23" t="s">
        <v>159</v>
      </c>
      <c r="B23" t="s">
        <v>306</v>
      </c>
      <c r="C23" s="267">
        <v>45117.291238425925</v>
      </c>
      <c r="D23">
        <v>25057</v>
      </c>
      <c r="E23">
        <v>17062</v>
      </c>
      <c r="F23">
        <v>28</v>
      </c>
    </row>
    <row r="24" spans="1:6" x14ac:dyDescent="0.25">
      <c r="A24" t="s">
        <v>158</v>
      </c>
      <c r="B24" t="s">
        <v>307</v>
      </c>
      <c r="C24" s="267">
        <v>45117.289652777778</v>
      </c>
      <c r="D24">
        <v>131229</v>
      </c>
      <c r="E24">
        <v>19285</v>
      </c>
      <c r="F24">
        <v>10</v>
      </c>
    </row>
    <row r="25" spans="1:6" x14ac:dyDescent="0.25">
      <c r="A25" t="s">
        <v>163</v>
      </c>
      <c r="B25" t="s">
        <v>305</v>
      </c>
      <c r="C25" s="267">
        <v>45115.366666666669</v>
      </c>
      <c r="D25">
        <v>42669</v>
      </c>
      <c r="E25">
        <v>35253</v>
      </c>
      <c r="F25">
        <v>20</v>
      </c>
    </row>
    <row r="26" spans="1:6" x14ac:dyDescent="0.25">
      <c r="A26" t="s">
        <v>170</v>
      </c>
      <c r="B26" t="s">
        <v>304</v>
      </c>
      <c r="C26" s="267">
        <v>45114.752870370372</v>
      </c>
      <c r="D26">
        <v>119235</v>
      </c>
      <c r="E26">
        <v>31651</v>
      </c>
      <c r="F26">
        <v>46</v>
      </c>
    </row>
    <row r="27" spans="1:6" x14ac:dyDescent="0.25">
      <c r="A27" t="s">
        <v>163</v>
      </c>
      <c r="B27" t="s">
        <v>305</v>
      </c>
      <c r="C27" s="267">
        <v>45114.336064814815</v>
      </c>
      <c r="D27">
        <v>42625</v>
      </c>
      <c r="E27">
        <v>35235</v>
      </c>
      <c r="F27">
        <v>20</v>
      </c>
    </row>
    <row r="28" spans="1:6" x14ac:dyDescent="0.25">
      <c r="A28" t="s">
        <v>163</v>
      </c>
      <c r="B28" t="s">
        <v>305</v>
      </c>
      <c r="C28" s="267">
        <v>45113.321620370371</v>
      </c>
      <c r="D28">
        <v>42598</v>
      </c>
      <c r="E28">
        <v>35229</v>
      </c>
      <c r="F28">
        <v>20</v>
      </c>
    </row>
    <row r="29" spans="1:6" x14ac:dyDescent="0.25">
      <c r="A29" t="s">
        <v>174</v>
      </c>
      <c r="B29" t="s">
        <v>303</v>
      </c>
      <c r="C29" s="267">
        <v>45112.359560185185</v>
      </c>
      <c r="D29">
        <v>102175</v>
      </c>
      <c r="E29">
        <v>44042</v>
      </c>
      <c r="F29">
        <v>54</v>
      </c>
    </row>
    <row r="30" spans="1:6" x14ac:dyDescent="0.25">
      <c r="A30" t="s">
        <v>163</v>
      </c>
      <c r="B30" t="s">
        <v>305</v>
      </c>
      <c r="C30" s="267">
        <v>45112.352500000001</v>
      </c>
      <c r="D30">
        <v>42549</v>
      </c>
      <c r="E30">
        <v>35227</v>
      </c>
      <c r="F30">
        <v>20</v>
      </c>
    </row>
    <row r="31" spans="1:6" x14ac:dyDescent="0.25">
      <c r="A31" t="s">
        <v>152</v>
      </c>
      <c r="B31" t="s">
        <v>302</v>
      </c>
      <c r="C31" s="267">
        <v>45111.495416666665</v>
      </c>
      <c r="D31">
        <v>186624</v>
      </c>
      <c r="E31">
        <v>34525</v>
      </c>
      <c r="F31">
        <v>2</v>
      </c>
    </row>
    <row r="32" spans="1:6" x14ac:dyDescent="0.25">
      <c r="A32" t="s">
        <v>174</v>
      </c>
      <c r="B32" t="s">
        <v>303</v>
      </c>
      <c r="C32" s="267">
        <v>45111.491493055553</v>
      </c>
      <c r="D32">
        <v>102167</v>
      </c>
      <c r="E32">
        <v>44038</v>
      </c>
      <c r="F32">
        <v>54</v>
      </c>
    </row>
    <row r="33" spans="1:6" x14ac:dyDescent="0.25">
      <c r="A33" t="s">
        <v>152</v>
      </c>
      <c r="B33" t="s">
        <v>302</v>
      </c>
      <c r="C33" s="267">
        <v>45111.370405092595</v>
      </c>
      <c r="D33">
        <v>186623</v>
      </c>
      <c r="E33">
        <v>34503</v>
      </c>
      <c r="F33">
        <v>2</v>
      </c>
    </row>
    <row r="34" spans="1:6" x14ac:dyDescent="0.25">
      <c r="A34" t="s">
        <v>152</v>
      </c>
      <c r="B34" t="s">
        <v>302</v>
      </c>
      <c r="C34" s="267">
        <v>45111.363437499997</v>
      </c>
      <c r="D34">
        <v>186623</v>
      </c>
      <c r="E34">
        <v>34488</v>
      </c>
      <c r="F34">
        <v>2</v>
      </c>
    </row>
    <row r="35" spans="1:6" x14ac:dyDescent="0.25">
      <c r="A35" t="s">
        <v>152</v>
      </c>
      <c r="B35" t="s">
        <v>302</v>
      </c>
      <c r="C35" s="267">
        <v>45111.356481481482</v>
      </c>
      <c r="D35">
        <v>186623</v>
      </c>
      <c r="E35">
        <v>34487</v>
      </c>
      <c r="F35">
        <v>2</v>
      </c>
    </row>
    <row r="36" spans="1:6" x14ac:dyDescent="0.25">
      <c r="A36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8" t="s">
        <v>137</v>
      </c>
      <c r="G36" s="288"/>
      <c r="H36" s="288"/>
      <c r="I36" s="288"/>
      <c r="J36" s="28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15-09-2023 14.25.54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2023-09-15T20:37:52Z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