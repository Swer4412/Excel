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07" codeName="{E757BCB4-07E6-AE0B-56E0-F0EEF7A6E26C}"/>
  <workbookPr filterPrivacy="1" codeName="Questa_cartella_di_lavoro"/>
  <xr:revisionPtr revIDLastSave="0" documentId="13_ncr:1_{C21F7E80-74A3-4A23-8F5E-DB0F281D710E}" xr6:coauthVersionLast="47" xr6:coauthVersionMax="47" xr10:uidLastSave="{00000000-0000-0000-0000-000000000000}"/>
  <bookViews>
    <workbookView xWindow="-105" yWindow="0" windowWidth="14610" windowHeight="15585" tabRatio="847" activeTab="1" xr2:uid="{00000000-000D-0000-FFFF-FFFF00000000}"/>
  </bookViews>
  <sheets>
    <sheet name="CONGUAGLI" sheetId="6" r:id="rId1"/>
    <sheet name="Dati 18-09-2023 22.40.08" sheetId="43" r:id="rId2"/>
    <sheet name="Dati 18-09-2023 22.37.24" sheetId="42" r:id="rId3"/>
    <sheet name="scaduti" sheetId="8" r:id="rId4"/>
    <sheet name="conti" sheetId="7" state="hidden" r:id="rId5"/>
    <sheet name="CONGUAGLI  old al 17-6" sheetId="5" state="hidden" r:id="rId6"/>
    <sheet name="noleggi" sheetId="1" state="hidden" r:id="rId7"/>
    <sheet name="CONGUAGLI old o chiusi" sheetId="2" state="hidden" r:id="rId8"/>
    <sheet name="CONTI A4" sheetId="3" state="hidden" r:id="rId9"/>
  </sheets>
  <functionGroups builtInGroupCount="19"/>
  <definedNames>
    <definedName name="_xlnm._FilterDatabase" localSheetId="0" hidden="1">CONGUAGLI!$A$1:$AS$54</definedName>
    <definedName name="_xlnm._FilterDatabase" localSheetId="5" hidden="1">'CONGUAGLI  old al 17-6'!$B$1:$AE$1</definedName>
    <definedName name="_xlnm._FilterDatabase" localSheetId="6" hidden="1">noleggi!$A$1:$N$38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A60" i="6" l="1"/>
  <c r="Z60" i="6"/>
  <c r="Y60" i="6"/>
  <c r="J60" i="6"/>
  <c r="I60" i="6"/>
  <c r="AJ56" i="6"/>
  <c r="AA56" i="6"/>
  <c r="Z56" i="6"/>
  <c r="Y56" i="6"/>
  <c r="I56" i="6"/>
  <c r="J56" i="6" s="1"/>
  <c r="AJ55" i="6"/>
  <c r="AA55" i="6"/>
  <c r="AC55" i="6" s="1"/>
  <c r="AE55" i="6" s="1"/>
  <c r="AG55" i="6" s="1"/>
  <c r="AI55" i="6" s="1"/>
  <c r="Z55" i="6"/>
  <c r="Y55" i="6"/>
  <c r="I55" i="6"/>
  <c r="J55" i="6" s="1"/>
  <c r="AK54" i="6"/>
  <c r="AJ54" i="6"/>
  <c r="AA54" i="6"/>
  <c r="Z54" i="6"/>
  <c r="Y54" i="6"/>
  <c r="I54" i="6"/>
  <c r="J54" i="6" s="1"/>
  <c r="AK53" i="6"/>
  <c r="AJ53" i="6"/>
  <c r="AA53" i="6"/>
  <c r="Z53" i="6"/>
  <c r="Y53" i="6"/>
  <c r="I53" i="6"/>
  <c r="J53" i="6" s="1"/>
  <c r="AJ52" i="6"/>
  <c r="AA52" i="6"/>
  <c r="Z52" i="6"/>
  <c r="Y52" i="6"/>
  <c r="I52" i="6"/>
  <c r="J52" i="6" s="1"/>
  <c r="AJ51" i="6"/>
  <c r="AA51" i="6"/>
  <c r="Z51" i="6"/>
  <c r="AB51" i="6" s="1"/>
  <c r="AD51" i="6" s="1"/>
  <c r="AF51" i="6" s="1"/>
  <c r="AH51" i="6" s="1"/>
  <c r="Y51" i="6"/>
  <c r="I51" i="6"/>
  <c r="J51" i="6" s="1"/>
  <c r="AK50" i="6"/>
  <c r="AJ50" i="6"/>
  <c r="AA50" i="6"/>
  <c r="Z50" i="6"/>
  <c r="Y50" i="6"/>
  <c r="I50" i="6"/>
  <c r="J50" i="6" s="1"/>
  <c r="AK49" i="6"/>
  <c r="AJ49" i="6"/>
  <c r="AA49" i="6"/>
  <c r="AC49" i="6" s="1"/>
  <c r="AE49" i="6" s="1"/>
  <c r="AG49" i="6" s="1"/>
  <c r="AI49" i="6" s="1"/>
  <c r="Z49" i="6"/>
  <c r="Y49" i="6"/>
  <c r="I49" i="6"/>
  <c r="J49" i="6" s="1"/>
  <c r="AK48" i="6"/>
  <c r="AJ48" i="6"/>
  <c r="AA48" i="6"/>
  <c r="Z48" i="6"/>
  <c r="Y48" i="6"/>
  <c r="I48" i="6"/>
  <c r="J48" i="6" s="1"/>
  <c r="AJ47" i="6"/>
  <c r="AA47" i="6"/>
  <c r="Z47" i="6"/>
  <c r="Y47" i="6"/>
  <c r="I47" i="6"/>
  <c r="J47" i="6" s="1"/>
  <c r="AK46" i="6"/>
  <c r="AJ46" i="6"/>
  <c r="AA46" i="6"/>
  <c r="Z46" i="6"/>
  <c r="Y46" i="6"/>
  <c r="I46" i="6"/>
  <c r="J46" i="6" s="1"/>
  <c r="AK45" i="6"/>
  <c r="AJ45" i="6"/>
  <c r="AA45" i="6"/>
  <c r="Z45" i="6"/>
  <c r="AB45" i="6" s="1"/>
  <c r="AD45" i="6" s="1"/>
  <c r="AF45" i="6" s="1"/>
  <c r="AH45" i="6" s="1"/>
  <c r="Y45" i="6"/>
  <c r="I45" i="6"/>
  <c r="J45" i="6" s="1"/>
  <c r="AK44" i="6"/>
  <c r="AJ44" i="6"/>
  <c r="AA44" i="6"/>
  <c r="Z44" i="6"/>
  <c r="Y44" i="6"/>
  <c r="I44" i="6"/>
  <c r="J44" i="6" s="1"/>
  <c r="AK43" i="6"/>
  <c r="AJ43" i="6"/>
  <c r="AA43" i="6"/>
  <c r="Z43" i="6"/>
  <c r="Y43" i="6"/>
  <c r="I43" i="6"/>
  <c r="J43" i="6" s="1"/>
  <c r="AK42" i="6"/>
  <c r="AJ42" i="6"/>
  <c r="AA42" i="6"/>
  <c r="AC42" i="6" s="1"/>
  <c r="AE42" i="6" s="1"/>
  <c r="AG42" i="6" s="1"/>
  <c r="AI42" i="6" s="1"/>
  <c r="Z42" i="6"/>
  <c r="Y42" i="6"/>
  <c r="J42" i="6"/>
  <c r="I42" i="6"/>
  <c r="AK41" i="6"/>
  <c r="AJ41" i="6"/>
  <c r="AB41" i="6"/>
  <c r="AD41" i="6" s="1"/>
  <c r="AF41" i="6" s="1"/>
  <c r="AH41" i="6" s="1"/>
  <c r="AA41" i="6"/>
  <c r="Z41" i="6"/>
  <c r="Y41" i="6"/>
  <c r="I41" i="6"/>
  <c r="J41" i="6" s="1"/>
  <c r="AK40" i="6"/>
  <c r="AJ40" i="6"/>
  <c r="AA40" i="6"/>
  <c r="Z40" i="6"/>
  <c r="AB40" i="6" s="1"/>
  <c r="AD40" i="6" s="1"/>
  <c r="AF40" i="6" s="1"/>
  <c r="AH40" i="6" s="1"/>
  <c r="Y40" i="6"/>
  <c r="I40" i="6"/>
  <c r="J40" i="6" s="1"/>
  <c r="AK39" i="6"/>
  <c r="AJ39" i="6"/>
  <c r="AA39" i="6"/>
  <c r="Z39" i="6"/>
  <c r="Y39" i="6"/>
  <c r="AK38" i="6"/>
  <c r="AJ38" i="6"/>
  <c r="AA38" i="6"/>
  <c r="Z38" i="6"/>
  <c r="AB38" i="6" s="1"/>
  <c r="AD38" i="6" s="1"/>
  <c r="AF38" i="6" s="1"/>
  <c r="AH38" i="6" s="1"/>
  <c r="Y38" i="6"/>
  <c r="I38" i="6"/>
  <c r="J38" i="6" s="1"/>
  <c r="AK37" i="6"/>
  <c r="AJ37" i="6"/>
  <c r="AA37" i="6"/>
  <c r="Z37" i="6"/>
  <c r="Y37" i="6"/>
  <c r="Q37" i="6"/>
  <c r="O37" i="6"/>
  <c r="I37" i="6"/>
  <c r="AK36" i="6"/>
  <c r="AJ36" i="6"/>
  <c r="AA36" i="6"/>
  <c r="Z36" i="6"/>
  <c r="Y36" i="6"/>
  <c r="AC36" i="6" s="1"/>
  <c r="AE36" i="6" s="1"/>
  <c r="AG36" i="6" s="1"/>
  <c r="AI36" i="6" s="1"/>
  <c r="I36" i="6"/>
  <c r="J36" i="6" s="1"/>
  <c r="AK35" i="6"/>
  <c r="AJ35" i="6"/>
  <c r="AA35" i="6"/>
  <c r="Z35" i="6"/>
  <c r="Y35" i="6"/>
  <c r="I35" i="6"/>
  <c r="J35" i="6" s="1"/>
  <c r="AK34" i="6"/>
  <c r="AJ34" i="6"/>
  <c r="AA34" i="6"/>
  <c r="Z34" i="6"/>
  <c r="Y34" i="6"/>
  <c r="I34" i="6"/>
  <c r="J34" i="6" s="1"/>
  <c r="AK33" i="6"/>
  <c r="AJ33" i="6"/>
  <c r="AA33" i="6"/>
  <c r="Z33" i="6"/>
  <c r="Y33" i="6"/>
  <c r="I33" i="6"/>
  <c r="J33" i="6" s="1"/>
  <c r="AK32" i="6"/>
  <c r="AJ32" i="6"/>
  <c r="AA32" i="6"/>
  <c r="Z32" i="6"/>
  <c r="Y32" i="6"/>
  <c r="I32" i="6"/>
  <c r="J32" i="6" s="1"/>
  <c r="AK31" i="6"/>
  <c r="AJ31" i="6"/>
  <c r="AA31" i="6"/>
  <c r="Z31" i="6"/>
  <c r="Y31" i="6"/>
  <c r="I31" i="6"/>
  <c r="J31" i="6" s="1"/>
  <c r="AK30" i="6"/>
  <c r="AJ30" i="6"/>
  <c r="AA30" i="6"/>
  <c r="Z30" i="6"/>
  <c r="Y30" i="6"/>
  <c r="I30" i="6"/>
  <c r="J30" i="6" s="1"/>
  <c r="AK29" i="6"/>
  <c r="AJ29" i="6"/>
  <c r="AA29" i="6"/>
  <c r="Z29" i="6"/>
  <c r="Y29" i="6"/>
  <c r="I29" i="6"/>
  <c r="J29" i="6" s="1"/>
  <c r="AK28" i="6"/>
  <c r="AJ28" i="6"/>
  <c r="AA28" i="6"/>
  <c r="Z28" i="6"/>
  <c r="Y28" i="6"/>
  <c r="I28" i="6"/>
  <c r="J28" i="6" s="1"/>
  <c r="AK27" i="6"/>
  <c r="AJ27" i="6"/>
  <c r="AA27" i="6"/>
  <c r="Z27" i="6"/>
  <c r="Y27" i="6"/>
  <c r="I27" i="6"/>
  <c r="J27" i="6" s="1"/>
  <c r="AK26" i="6"/>
  <c r="AJ26" i="6"/>
  <c r="AA26" i="6"/>
  <c r="Z26" i="6"/>
  <c r="Y26" i="6"/>
  <c r="I26" i="6"/>
  <c r="J26" i="6" s="1"/>
  <c r="AK25" i="6"/>
  <c r="AJ25" i="6"/>
  <c r="AA25" i="6"/>
  <c r="Z25" i="6"/>
  <c r="Y25" i="6"/>
  <c r="I25" i="6"/>
  <c r="J25" i="6" s="1"/>
  <c r="AJ24" i="6"/>
  <c r="AA24" i="6"/>
  <c r="AC24" i="6" s="1"/>
  <c r="AE24" i="6" s="1"/>
  <c r="AG24" i="6" s="1"/>
  <c r="AI24" i="6" s="1"/>
  <c r="Z24" i="6"/>
  <c r="Y24" i="6"/>
  <c r="I24" i="6"/>
  <c r="J24" i="6" s="1"/>
  <c r="AK23" i="6"/>
  <c r="AJ23" i="6"/>
  <c r="AA23" i="6"/>
  <c r="Z23" i="6"/>
  <c r="Y23" i="6"/>
  <c r="I23" i="6"/>
  <c r="J23" i="6" s="1"/>
  <c r="AK22" i="6"/>
  <c r="AJ22" i="6"/>
  <c r="AA22" i="6"/>
  <c r="Z22" i="6"/>
  <c r="Y22" i="6"/>
  <c r="I22" i="6"/>
  <c r="J22" i="6" s="1"/>
  <c r="AK21" i="6"/>
  <c r="AJ21" i="6"/>
  <c r="AA21" i="6"/>
  <c r="Z21" i="6"/>
  <c r="Y21" i="6"/>
  <c r="I21" i="6"/>
  <c r="J21" i="6" s="1"/>
  <c r="AK20" i="6"/>
  <c r="AJ20" i="6"/>
  <c r="AA20" i="6"/>
  <c r="Z20" i="6"/>
  <c r="Y20" i="6"/>
  <c r="I20" i="6"/>
  <c r="J20" i="6" s="1"/>
  <c r="AK19" i="6"/>
  <c r="AJ19" i="6"/>
  <c r="AA19" i="6"/>
  <c r="Z19" i="6"/>
  <c r="Y19" i="6"/>
  <c r="AK18" i="6"/>
  <c r="AJ18" i="6"/>
  <c r="AA18" i="6"/>
  <c r="Z18" i="6"/>
  <c r="Y18" i="6"/>
  <c r="I18" i="6"/>
  <c r="J18" i="6" s="1"/>
  <c r="AJ17" i="6"/>
  <c r="AA17" i="6"/>
  <c r="Z17" i="6"/>
  <c r="Y17" i="6"/>
  <c r="AB17" i="6" s="1"/>
  <c r="AD17" i="6" s="1"/>
  <c r="AF17" i="6" s="1"/>
  <c r="AH17" i="6" s="1"/>
  <c r="I17" i="6"/>
  <c r="J17" i="6" s="1"/>
  <c r="AK16" i="6"/>
  <c r="AJ16" i="6"/>
  <c r="AA16" i="6"/>
  <c r="Z16" i="6"/>
  <c r="Y16" i="6"/>
  <c r="I16" i="6"/>
  <c r="J16" i="6" s="1"/>
  <c r="AK15" i="6"/>
  <c r="AJ15" i="6"/>
  <c r="AA15" i="6"/>
  <c r="Z15" i="6"/>
  <c r="Y15" i="6"/>
  <c r="I15" i="6"/>
  <c r="J15" i="6" s="1"/>
  <c r="AK14" i="6"/>
  <c r="AJ14" i="6"/>
  <c r="AA14" i="6"/>
  <c r="Z14" i="6"/>
  <c r="Y14" i="6"/>
  <c r="AA13" i="6"/>
  <c r="Z13" i="6"/>
  <c r="AJ13" i="6" s="1"/>
  <c r="Y13" i="6"/>
  <c r="I13" i="6"/>
  <c r="J13" i="6" s="1"/>
  <c r="AK12" i="6"/>
  <c r="AJ12" i="6"/>
  <c r="AA12" i="6"/>
  <c r="AC12" i="6" s="1"/>
  <c r="AE12" i="6" s="1"/>
  <c r="AG12" i="6" s="1"/>
  <c r="AI12" i="6" s="1"/>
  <c r="Z12" i="6"/>
  <c r="Y12" i="6"/>
  <c r="AK11" i="6"/>
  <c r="AJ11" i="6"/>
  <c r="AA11" i="6"/>
  <c r="Z11" i="6"/>
  <c r="Y11" i="6"/>
  <c r="I11" i="6"/>
  <c r="J11" i="6" s="1"/>
  <c r="AK10" i="6"/>
  <c r="AJ10" i="6"/>
  <c r="AB10" i="6"/>
  <c r="AD10" i="6" s="1"/>
  <c r="AF10" i="6" s="1"/>
  <c r="AH10" i="6" s="1"/>
  <c r="AA10" i="6"/>
  <c r="AC10" i="6" s="1"/>
  <c r="AE10" i="6" s="1"/>
  <c r="AG10" i="6" s="1"/>
  <c r="AI10" i="6" s="1"/>
  <c r="Z10" i="6"/>
  <c r="Y10" i="6"/>
  <c r="I10" i="6"/>
  <c r="J10" i="6" s="1"/>
  <c r="AK9" i="6"/>
  <c r="AJ9" i="6"/>
  <c r="AA9" i="6"/>
  <c r="Z9" i="6"/>
  <c r="Y9" i="6"/>
  <c r="I9" i="6"/>
  <c r="J9" i="6" s="1"/>
  <c r="AJ8" i="6"/>
  <c r="AA8" i="6"/>
  <c r="Z8" i="6"/>
  <c r="AB8" i="6" s="1"/>
  <c r="AD8" i="6" s="1"/>
  <c r="AF8" i="6" s="1"/>
  <c r="AH8" i="6" s="1"/>
  <c r="Y8" i="6"/>
  <c r="I8" i="6"/>
  <c r="J8" i="6" s="1"/>
  <c r="AJ7" i="6"/>
  <c r="AA7" i="6"/>
  <c r="Z7" i="6"/>
  <c r="Y7" i="6"/>
  <c r="I7" i="6"/>
  <c r="J7" i="6" s="1"/>
  <c r="AJ6" i="6"/>
  <c r="AA6" i="6"/>
  <c r="Z6" i="6"/>
  <c r="Y6" i="6"/>
  <c r="I6" i="6"/>
  <c r="J6" i="6" s="1"/>
  <c r="AK5" i="6"/>
  <c r="AJ5" i="6"/>
  <c r="AA5" i="6"/>
  <c r="Z5" i="6"/>
  <c r="Y5" i="6"/>
  <c r="I5" i="6"/>
  <c r="J5" i="6" s="1"/>
  <c r="AK4" i="6"/>
  <c r="AJ4" i="6"/>
  <c r="AA4" i="6"/>
  <c r="Z4" i="6"/>
  <c r="Y4" i="6"/>
  <c r="I4" i="6"/>
  <c r="J4" i="6" s="1"/>
  <c r="AK3" i="6"/>
  <c r="AJ3" i="6"/>
  <c r="AA3" i="6"/>
  <c r="Z3" i="6"/>
  <c r="Y3" i="6"/>
  <c r="I3" i="6"/>
  <c r="J3" i="6" s="1"/>
  <c r="AK2" i="6"/>
  <c r="AJ2" i="6"/>
  <c r="AA2" i="6"/>
  <c r="Z2" i="6"/>
  <c r="Y2" i="6"/>
  <c r="I2" i="6"/>
  <c r="J2" i="6" s="1"/>
  <c r="C1" i="6"/>
  <c r="M8" i="7"/>
  <c r="Q8" i="7"/>
  <c r="S8" i="7" s="1"/>
  <c r="V8" i="7" s="1"/>
  <c r="Q9" i="7"/>
  <c r="S9" i="7" s="1"/>
  <c r="V9" i="7" s="1"/>
  <c r="AA10" i="8"/>
  <c r="Z10" i="8"/>
  <c r="AB10" i="8" s="1"/>
  <c r="AD10" i="8" s="1"/>
  <c r="AF10" i="8" s="1"/>
  <c r="AH10" i="8" s="1"/>
  <c r="Y10" i="8"/>
  <c r="I10" i="8"/>
  <c r="J10" i="8" s="1"/>
  <c r="X7" i="8"/>
  <c r="W7" i="8"/>
  <c r="AJ7" i="8" s="1"/>
  <c r="V7" i="8"/>
  <c r="AI7" i="8" s="1"/>
  <c r="H7" i="8"/>
  <c r="I7" i="8" s="1"/>
  <c r="AJ5" i="8"/>
  <c r="AI5" i="8"/>
  <c r="Z5" i="8"/>
  <c r="Y5" i="8"/>
  <c r="X5" i="8"/>
  <c r="H5" i="8"/>
  <c r="I5" i="8" s="1"/>
  <c r="AJ3" i="8"/>
  <c r="AI3" i="8"/>
  <c r="Z3" i="8"/>
  <c r="Y3" i="8"/>
  <c r="X3" i="8"/>
  <c r="H3" i="8"/>
  <c r="I3" i="8" s="1"/>
  <c r="AJ2" i="8"/>
  <c r="AI2" i="8"/>
  <c r="Z2" i="8"/>
  <c r="Y2" i="8"/>
  <c r="X2" i="8"/>
  <c r="AB2" i="8" s="1"/>
  <c r="AD2" i="8" s="1"/>
  <c r="AF2" i="8" s="1"/>
  <c r="AH2" i="8" s="1"/>
  <c r="H2" i="8"/>
  <c r="I2" i="8" s="1"/>
  <c r="AJ1" i="8"/>
  <c r="AI1" i="8"/>
  <c r="Z1" i="8"/>
  <c r="Y1" i="8"/>
  <c r="AA1" i="8" s="1"/>
  <c r="AC1" i="8" s="1"/>
  <c r="AE1" i="8" s="1"/>
  <c r="AG1" i="8" s="1"/>
  <c r="X1" i="8"/>
  <c r="H1" i="8"/>
  <c r="I1" i="8" s="1"/>
  <c r="AC47" i="6" l="1"/>
  <c r="AE47" i="6" s="1"/>
  <c r="AG47" i="6" s="1"/>
  <c r="AI47" i="6" s="1"/>
  <c r="AC7" i="6"/>
  <c r="AE7" i="6" s="1"/>
  <c r="AG7" i="6" s="1"/>
  <c r="AI7" i="6" s="1"/>
  <c r="AC22" i="6"/>
  <c r="AE22" i="6" s="1"/>
  <c r="AG22" i="6" s="1"/>
  <c r="AI22" i="6" s="1"/>
  <c r="AC26" i="6"/>
  <c r="AE26" i="6" s="1"/>
  <c r="AG26" i="6" s="1"/>
  <c r="AI26" i="6" s="1"/>
  <c r="AC30" i="6"/>
  <c r="AE30" i="6" s="1"/>
  <c r="AG30" i="6" s="1"/>
  <c r="AI30" i="6" s="1"/>
  <c r="AB54" i="6"/>
  <c r="AD54" i="6" s="1"/>
  <c r="AF54" i="6" s="1"/>
  <c r="AH54" i="6" s="1"/>
  <c r="AC38" i="6"/>
  <c r="AE38" i="6" s="1"/>
  <c r="AG38" i="6" s="1"/>
  <c r="AI38" i="6" s="1"/>
  <c r="AB25" i="6"/>
  <c r="AD25" i="6" s="1"/>
  <c r="AF25" i="6" s="1"/>
  <c r="AH25" i="6" s="1"/>
  <c r="AB29" i="6"/>
  <c r="AD29" i="6" s="1"/>
  <c r="AF29" i="6" s="1"/>
  <c r="AH29" i="6" s="1"/>
  <c r="AC53" i="6"/>
  <c r="AE53" i="6" s="1"/>
  <c r="AG53" i="6" s="1"/>
  <c r="AI53" i="6" s="1"/>
  <c r="AB23" i="6"/>
  <c r="AD23" i="6" s="1"/>
  <c r="AF23" i="6" s="1"/>
  <c r="AH23" i="6" s="1"/>
  <c r="AB27" i="6"/>
  <c r="AD27" i="6" s="1"/>
  <c r="AF27" i="6" s="1"/>
  <c r="AH27" i="6" s="1"/>
  <c r="AB31" i="6"/>
  <c r="AD31" i="6" s="1"/>
  <c r="AF31" i="6" s="1"/>
  <c r="AH31" i="6" s="1"/>
  <c r="AB33" i="6"/>
  <c r="AD33" i="6" s="1"/>
  <c r="AF33" i="6" s="1"/>
  <c r="AH33" i="6" s="1"/>
  <c r="AB2" i="6"/>
  <c r="AD2" i="6" s="1"/>
  <c r="AF2" i="6" s="1"/>
  <c r="AH2" i="6" s="1"/>
  <c r="AC23" i="6"/>
  <c r="AE23" i="6" s="1"/>
  <c r="AG23" i="6" s="1"/>
  <c r="AI23" i="6" s="1"/>
  <c r="AC25" i="6"/>
  <c r="AE25" i="6" s="1"/>
  <c r="AG25" i="6" s="1"/>
  <c r="AI25" i="6" s="1"/>
  <c r="AC31" i="6"/>
  <c r="AE31" i="6" s="1"/>
  <c r="AG31" i="6" s="1"/>
  <c r="AI31" i="6" s="1"/>
  <c r="AC33" i="6"/>
  <c r="AE33" i="6" s="1"/>
  <c r="AG33" i="6" s="1"/>
  <c r="AI33" i="6" s="1"/>
  <c r="AC2" i="6"/>
  <c r="AE2" i="6" s="1"/>
  <c r="AG2" i="6" s="1"/>
  <c r="AI2" i="6" s="1"/>
  <c r="AC15" i="6"/>
  <c r="AE15" i="6" s="1"/>
  <c r="AG15" i="6" s="1"/>
  <c r="AI15" i="6" s="1"/>
  <c r="AC17" i="6"/>
  <c r="AE17" i="6" s="1"/>
  <c r="AG17" i="6" s="1"/>
  <c r="AI17" i="6" s="1"/>
  <c r="AB39" i="6"/>
  <c r="AD39" i="6" s="1"/>
  <c r="AF39" i="6" s="1"/>
  <c r="AH39" i="6" s="1"/>
  <c r="AB49" i="6"/>
  <c r="AD49" i="6" s="1"/>
  <c r="AF49" i="6" s="1"/>
  <c r="AH49" i="6" s="1"/>
  <c r="AB7" i="6"/>
  <c r="AD7" i="6" s="1"/>
  <c r="AF7" i="6" s="1"/>
  <c r="AH7" i="6" s="1"/>
  <c r="AB46" i="6"/>
  <c r="AD46" i="6" s="1"/>
  <c r="AF46" i="6" s="1"/>
  <c r="AH46" i="6" s="1"/>
  <c r="AB56" i="6"/>
  <c r="AD56" i="6" s="1"/>
  <c r="AF56" i="6" s="1"/>
  <c r="AH56" i="6" s="1"/>
  <c r="AB5" i="6"/>
  <c r="AD5" i="6" s="1"/>
  <c r="AF5" i="6" s="1"/>
  <c r="AH5" i="6" s="1"/>
  <c r="AC13" i="6"/>
  <c r="AE13" i="6" s="1"/>
  <c r="AG13" i="6" s="1"/>
  <c r="AI13" i="6" s="1"/>
  <c r="AC5" i="6"/>
  <c r="AE5" i="6" s="1"/>
  <c r="AG5" i="6" s="1"/>
  <c r="AI5" i="6" s="1"/>
  <c r="AC20" i="6"/>
  <c r="AE20" i="6" s="1"/>
  <c r="AG20" i="6" s="1"/>
  <c r="AI20" i="6" s="1"/>
  <c r="AB22" i="6"/>
  <c r="AD22" i="6" s="1"/>
  <c r="AF22" i="6" s="1"/>
  <c r="AH22" i="6" s="1"/>
  <c r="AC46" i="6"/>
  <c r="AE46" i="6" s="1"/>
  <c r="AG46" i="6" s="1"/>
  <c r="AI46" i="6" s="1"/>
  <c r="AC48" i="6"/>
  <c r="AE48" i="6" s="1"/>
  <c r="AG48" i="6" s="1"/>
  <c r="AI48" i="6" s="1"/>
  <c r="AC54" i="6"/>
  <c r="AE54" i="6" s="1"/>
  <c r="AG54" i="6" s="1"/>
  <c r="AI54" i="6" s="1"/>
  <c r="AB3" i="6"/>
  <c r="AD3" i="6" s="1"/>
  <c r="AF3" i="6" s="1"/>
  <c r="AH3" i="6" s="1"/>
  <c r="AB11" i="6"/>
  <c r="AD11" i="6" s="1"/>
  <c r="AF11" i="6" s="1"/>
  <c r="AH11" i="6" s="1"/>
  <c r="AB44" i="6"/>
  <c r="AD44" i="6" s="1"/>
  <c r="AF44" i="6" s="1"/>
  <c r="AH44" i="6" s="1"/>
  <c r="AC28" i="6"/>
  <c r="AE28" i="6" s="1"/>
  <c r="AG28" i="6" s="1"/>
  <c r="AI28" i="6" s="1"/>
  <c r="AC37" i="6"/>
  <c r="AE37" i="6" s="1"/>
  <c r="AG37" i="6" s="1"/>
  <c r="AI37" i="6" s="1"/>
  <c r="AC52" i="6"/>
  <c r="AE52" i="6" s="1"/>
  <c r="AG52" i="6" s="1"/>
  <c r="AI52" i="6" s="1"/>
  <c r="AC3" i="6"/>
  <c r="AE3" i="6" s="1"/>
  <c r="AG3" i="6" s="1"/>
  <c r="AI3" i="6" s="1"/>
  <c r="AC11" i="6"/>
  <c r="AE11" i="6" s="1"/>
  <c r="AG11" i="6" s="1"/>
  <c r="AI11" i="6" s="1"/>
  <c r="AC16" i="6"/>
  <c r="AE16" i="6" s="1"/>
  <c r="AG16" i="6" s="1"/>
  <c r="AI16" i="6" s="1"/>
  <c r="AB26" i="6"/>
  <c r="AD26" i="6" s="1"/>
  <c r="AF26" i="6" s="1"/>
  <c r="AH26" i="6" s="1"/>
  <c r="AB32" i="6"/>
  <c r="AD32" i="6" s="1"/>
  <c r="AF32" i="6" s="1"/>
  <c r="AH32" i="6" s="1"/>
  <c r="AC39" i="6"/>
  <c r="AE39" i="6" s="1"/>
  <c r="AG39" i="6" s="1"/>
  <c r="AI39" i="6" s="1"/>
  <c r="AC41" i="6"/>
  <c r="AE41" i="6" s="1"/>
  <c r="AG41" i="6" s="1"/>
  <c r="AI41" i="6" s="1"/>
  <c r="AB4" i="6"/>
  <c r="AD4" i="6" s="1"/>
  <c r="AF4" i="6" s="1"/>
  <c r="AH4" i="6" s="1"/>
  <c r="AB36" i="6"/>
  <c r="AD36" i="6" s="1"/>
  <c r="AF36" i="6" s="1"/>
  <c r="AH36" i="6" s="1"/>
  <c r="AC45" i="6"/>
  <c r="AE45" i="6" s="1"/>
  <c r="AG45" i="6" s="1"/>
  <c r="AI45" i="6" s="1"/>
  <c r="AB34" i="6"/>
  <c r="AD34" i="6" s="1"/>
  <c r="AF34" i="6" s="1"/>
  <c r="AH34" i="6" s="1"/>
  <c r="AB19" i="6"/>
  <c r="AD19" i="6" s="1"/>
  <c r="AF19" i="6" s="1"/>
  <c r="AH19" i="6" s="1"/>
  <c r="AC34" i="6"/>
  <c r="AE34" i="6" s="1"/>
  <c r="AG34" i="6" s="1"/>
  <c r="AI34" i="6" s="1"/>
  <c r="AC43" i="6"/>
  <c r="AE43" i="6" s="1"/>
  <c r="AG43" i="6" s="1"/>
  <c r="AI43" i="6" s="1"/>
  <c r="AC19" i="6"/>
  <c r="AE19" i="6" s="1"/>
  <c r="AG19" i="6" s="1"/>
  <c r="AI19" i="6" s="1"/>
  <c r="AB21" i="6"/>
  <c r="AD21" i="6" s="1"/>
  <c r="AF21" i="6" s="1"/>
  <c r="AH21" i="6" s="1"/>
  <c r="AB6" i="6"/>
  <c r="AD6" i="6" s="1"/>
  <c r="AF6" i="6" s="1"/>
  <c r="AH6" i="6" s="1"/>
  <c r="AC14" i="6"/>
  <c r="AE14" i="6" s="1"/>
  <c r="AG14" i="6" s="1"/>
  <c r="AI14" i="6" s="1"/>
  <c r="AC35" i="6"/>
  <c r="AE35" i="6" s="1"/>
  <c r="AG35" i="6" s="1"/>
  <c r="AI35" i="6" s="1"/>
  <c r="AB42" i="6"/>
  <c r="AD42" i="6" s="1"/>
  <c r="AF42" i="6" s="1"/>
  <c r="AH42" i="6" s="1"/>
  <c r="AB47" i="6"/>
  <c r="AD47" i="6" s="1"/>
  <c r="AF47" i="6" s="1"/>
  <c r="AH47" i="6" s="1"/>
  <c r="AC50" i="6"/>
  <c r="AE50" i="6" s="1"/>
  <c r="AG50" i="6" s="1"/>
  <c r="AI50" i="6" s="1"/>
  <c r="AB52" i="6"/>
  <c r="AD52" i="6" s="1"/>
  <c r="AF52" i="6" s="1"/>
  <c r="AH52" i="6" s="1"/>
  <c r="AC6" i="6"/>
  <c r="AE6" i="6" s="1"/>
  <c r="AG6" i="6" s="1"/>
  <c r="AI6" i="6" s="1"/>
  <c r="AC8" i="6"/>
  <c r="AE8" i="6" s="1"/>
  <c r="AG8" i="6" s="1"/>
  <c r="AI8" i="6" s="1"/>
  <c r="AB12" i="6"/>
  <c r="AD12" i="6" s="1"/>
  <c r="AF12" i="6" s="1"/>
  <c r="AH12" i="6" s="1"/>
  <c r="AB16" i="6"/>
  <c r="AD16" i="6" s="1"/>
  <c r="AF16" i="6" s="1"/>
  <c r="AH16" i="6" s="1"/>
  <c r="AB20" i="6"/>
  <c r="AD20" i="6" s="1"/>
  <c r="AF20" i="6" s="1"/>
  <c r="AH20" i="6" s="1"/>
  <c r="AB30" i="6"/>
  <c r="AD30" i="6" s="1"/>
  <c r="AF30" i="6" s="1"/>
  <c r="AH30" i="6" s="1"/>
  <c r="AC32" i="6"/>
  <c r="AE32" i="6" s="1"/>
  <c r="AG32" i="6" s="1"/>
  <c r="AI32" i="6" s="1"/>
  <c r="AB37" i="6"/>
  <c r="AD37" i="6" s="1"/>
  <c r="AF37" i="6" s="1"/>
  <c r="AH37" i="6" s="1"/>
  <c r="AC44" i="6"/>
  <c r="AE44" i="6" s="1"/>
  <c r="AG44" i="6" s="1"/>
  <c r="AI44" i="6" s="1"/>
  <c r="AB18" i="6"/>
  <c r="AD18" i="6" s="1"/>
  <c r="AF18" i="6" s="1"/>
  <c r="AH18" i="6" s="1"/>
  <c r="AB15" i="6"/>
  <c r="AD15" i="6" s="1"/>
  <c r="AF15" i="6" s="1"/>
  <c r="AH15" i="6" s="1"/>
  <c r="AC18" i="6"/>
  <c r="AE18" i="6" s="1"/>
  <c r="AG18" i="6" s="1"/>
  <c r="AI18" i="6" s="1"/>
  <c r="AC56" i="6"/>
  <c r="AE56" i="6" s="1"/>
  <c r="AG56" i="6" s="1"/>
  <c r="AI56" i="6" s="1"/>
  <c r="AB9" i="6"/>
  <c r="AD9" i="6" s="1"/>
  <c r="AF9" i="6" s="1"/>
  <c r="AH9" i="6" s="1"/>
  <c r="AC27" i="6"/>
  <c r="AE27" i="6" s="1"/>
  <c r="AG27" i="6" s="1"/>
  <c r="AI27" i="6" s="1"/>
  <c r="AC29" i="6"/>
  <c r="AE29" i="6" s="1"/>
  <c r="AG29" i="6" s="1"/>
  <c r="AI29" i="6" s="1"/>
  <c r="AC51" i="6"/>
  <c r="AE51" i="6" s="1"/>
  <c r="AG51" i="6" s="1"/>
  <c r="AI51" i="6" s="1"/>
  <c r="AB53" i="6"/>
  <c r="AD53" i="6" s="1"/>
  <c r="AF53" i="6" s="1"/>
  <c r="AH53" i="6" s="1"/>
  <c r="AC9" i="6"/>
  <c r="AE9" i="6" s="1"/>
  <c r="AG9" i="6" s="1"/>
  <c r="AI9" i="6" s="1"/>
  <c r="AB24" i="6"/>
  <c r="AD24" i="6" s="1"/>
  <c r="AF24" i="6" s="1"/>
  <c r="AH24" i="6" s="1"/>
  <c r="AB43" i="6"/>
  <c r="AD43" i="6" s="1"/>
  <c r="AF43" i="6" s="1"/>
  <c r="AH43" i="6" s="1"/>
  <c r="AB48" i="6"/>
  <c r="AD48" i="6" s="1"/>
  <c r="AF48" i="6" s="1"/>
  <c r="AH48" i="6" s="1"/>
  <c r="AC40" i="6"/>
  <c r="AE40" i="6" s="1"/>
  <c r="AG40" i="6" s="1"/>
  <c r="AI40" i="6" s="1"/>
  <c r="J37" i="6"/>
  <c r="AB55" i="6"/>
  <c r="AD55" i="6" s="1"/>
  <c r="AF55" i="6" s="1"/>
  <c r="AH55" i="6" s="1"/>
  <c r="AB60" i="6"/>
  <c r="AD60" i="6" s="1"/>
  <c r="AF60" i="6" s="1"/>
  <c r="AH60" i="6" s="1"/>
  <c r="AC4" i="6"/>
  <c r="AE4" i="6" s="1"/>
  <c r="AG4" i="6" s="1"/>
  <c r="AI4" i="6" s="1"/>
  <c r="AB14" i="6"/>
  <c r="AD14" i="6" s="1"/>
  <c r="AF14" i="6" s="1"/>
  <c r="AH14" i="6" s="1"/>
  <c r="AC21" i="6"/>
  <c r="AE21" i="6" s="1"/>
  <c r="AG21" i="6" s="1"/>
  <c r="AI21" i="6" s="1"/>
  <c r="AB28" i="6"/>
  <c r="AD28" i="6" s="1"/>
  <c r="AF28" i="6" s="1"/>
  <c r="AH28" i="6" s="1"/>
  <c r="AB35" i="6"/>
  <c r="AD35" i="6" s="1"/>
  <c r="AF35" i="6" s="1"/>
  <c r="AH35" i="6" s="1"/>
  <c r="AB50" i="6"/>
  <c r="AD50" i="6" s="1"/>
  <c r="AF50" i="6" s="1"/>
  <c r="AH50" i="6" s="1"/>
  <c r="AC60" i="6"/>
  <c r="AE60" i="6" s="1"/>
  <c r="AG60" i="6" s="1"/>
  <c r="AI60" i="6" s="1"/>
  <c r="AK13" i="6"/>
  <c r="AB13" i="6"/>
  <c r="AD13" i="6" s="1"/>
  <c r="AF13" i="6" s="1"/>
  <c r="AH13" i="6" s="1"/>
  <c r="O15" i="7"/>
  <c r="AC10" i="8"/>
  <c r="AE10" i="8" s="1"/>
  <c r="AG10" i="8" s="1"/>
  <c r="AI10" i="8" s="1"/>
  <c r="AB1" i="8"/>
  <c r="AD1" i="8" s="1"/>
  <c r="AF1" i="8" s="1"/>
  <c r="AH1" i="8" s="1"/>
  <c r="AA2" i="8"/>
  <c r="AC2" i="8" s="1"/>
  <c r="AE2" i="8" s="1"/>
  <c r="AG2" i="8" s="1"/>
  <c r="R8" i="7"/>
  <c r="R9" i="7"/>
  <c r="AB5" i="8"/>
  <c r="AD5" i="8" s="1"/>
  <c r="AF5" i="8" s="1"/>
  <c r="AH5" i="8" s="1"/>
  <c r="AA5" i="8"/>
  <c r="AC5" i="8" s="1"/>
  <c r="AE5" i="8" s="1"/>
  <c r="AG5" i="8" s="1"/>
  <c r="AA3" i="8"/>
  <c r="AC3" i="8" s="1"/>
  <c r="AE3" i="8" s="1"/>
  <c r="AG3" i="8" s="1"/>
  <c r="AB3" i="8"/>
  <c r="AD3" i="8" s="1"/>
  <c r="AF3" i="8" s="1"/>
  <c r="AH3" i="8" s="1"/>
  <c r="Y7" i="8"/>
  <c r="AA7" i="8" s="1"/>
  <c r="AC7" i="8" s="1"/>
  <c r="AE7" i="8" s="1"/>
  <c r="AG7" i="8" s="1"/>
  <c r="Z7" i="8"/>
  <c r="AB7" i="8" s="1"/>
  <c r="AD7" i="8" s="1"/>
  <c r="AF7" i="8" s="1"/>
  <c r="AH7" i="8" s="1"/>
  <c r="F11" i="7"/>
  <c r="F8" i="7"/>
  <c r="F4" i="7" s="1"/>
  <c r="G11" i="7" l="1"/>
  <c r="U5" i="5" l="1"/>
  <c r="U33" i="5"/>
  <c r="V4" i="5" l="1"/>
  <c r="W4" i="5"/>
  <c r="V5" i="5"/>
  <c r="W5" i="5"/>
  <c r="V6" i="5"/>
  <c r="W6" i="5"/>
  <c r="V3" i="5"/>
  <c r="W3" i="5"/>
  <c r="V7" i="5"/>
  <c r="W7" i="5"/>
  <c r="V8" i="5"/>
  <c r="W8" i="5"/>
  <c r="V9" i="5"/>
  <c r="W9" i="5"/>
  <c r="V11" i="5"/>
  <c r="W11" i="5"/>
  <c r="V12" i="5"/>
  <c r="W12" i="5"/>
  <c r="V13" i="5"/>
  <c r="W13" i="5"/>
  <c r="V14" i="5"/>
  <c r="W14" i="5"/>
  <c r="V15" i="5"/>
  <c r="X15" i="5" s="1"/>
  <c r="Z15" i="5" s="1"/>
  <c r="AB15" i="5" s="1"/>
  <c r="AD15" i="5" s="1"/>
  <c r="W15" i="5"/>
  <c r="V16" i="5"/>
  <c r="W16" i="5"/>
  <c r="V17" i="5"/>
  <c r="W17" i="5"/>
  <c r="V19" i="5"/>
  <c r="W19" i="5"/>
  <c r="V20" i="5"/>
  <c r="W20" i="5"/>
  <c r="V18" i="5"/>
  <c r="W18" i="5"/>
  <c r="V21" i="5"/>
  <c r="W21" i="5"/>
  <c r="V22" i="5"/>
  <c r="W22" i="5"/>
  <c r="V23" i="5"/>
  <c r="W23" i="5"/>
  <c r="V24" i="5"/>
  <c r="W24" i="5"/>
  <c r="V25" i="5"/>
  <c r="W25" i="5"/>
  <c r="V28" i="5"/>
  <c r="W28" i="5"/>
  <c r="V27" i="5"/>
  <c r="W27" i="5"/>
  <c r="V26" i="5"/>
  <c r="W26" i="5"/>
  <c r="V29" i="5"/>
  <c r="W29" i="5"/>
  <c r="V31" i="5"/>
  <c r="W31" i="5"/>
  <c r="V32" i="5"/>
  <c r="W32" i="5"/>
  <c r="U4" i="5"/>
  <c r="Y5" i="5"/>
  <c r="AA5" i="5" s="1"/>
  <c r="AC5" i="5" s="1"/>
  <c r="AE5" i="5" s="1"/>
  <c r="U6" i="5"/>
  <c r="X6" i="5" s="1"/>
  <c r="Z6" i="5" s="1"/>
  <c r="AB6" i="5" s="1"/>
  <c r="AD6" i="5" s="1"/>
  <c r="U3" i="5"/>
  <c r="X3" i="5" s="1"/>
  <c r="Z3" i="5" s="1"/>
  <c r="AB3" i="5" s="1"/>
  <c r="AD3" i="5" s="1"/>
  <c r="U7" i="5"/>
  <c r="U8" i="5"/>
  <c r="U9" i="5"/>
  <c r="U11" i="5"/>
  <c r="U12" i="5"/>
  <c r="U13" i="5"/>
  <c r="U14" i="5"/>
  <c r="U15" i="5"/>
  <c r="U16" i="5"/>
  <c r="U17" i="5"/>
  <c r="U19" i="5"/>
  <c r="U20" i="5"/>
  <c r="U18" i="5"/>
  <c r="U21" i="5"/>
  <c r="U22" i="5"/>
  <c r="X22" i="5" s="1"/>
  <c r="Z22" i="5" s="1"/>
  <c r="AB22" i="5" s="1"/>
  <c r="AD22" i="5" s="1"/>
  <c r="U23" i="5"/>
  <c r="X23" i="5" s="1"/>
  <c r="Z23" i="5" s="1"/>
  <c r="AB23" i="5" s="1"/>
  <c r="AD23" i="5" s="1"/>
  <c r="U24" i="5"/>
  <c r="X24" i="5" s="1"/>
  <c r="Z24" i="5" s="1"/>
  <c r="AB24" i="5" s="1"/>
  <c r="AD24" i="5" s="1"/>
  <c r="U25" i="5"/>
  <c r="U28" i="5"/>
  <c r="U27" i="5"/>
  <c r="U26" i="5"/>
  <c r="U29" i="5"/>
  <c r="U31" i="5"/>
  <c r="X31" i="5" s="1"/>
  <c r="Z31" i="5" s="1"/>
  <c r="AB31" i="5" s="1"/>
  <c r="AD31" i="5" s="1"/>
  <c r="U32" i="5"/>
  <c r="X32" i="5" s="1"/>
  <c r="Z32" i="5" s="1"/>
  <c r="AB32" i="5" s="1"/>
  <c r="AD32" i="5" s="1"/>
  <c r="Y15" i="5" l="1"/>
  <c r="AA15" i="5" s="1"/>
  <c r="AC15" i="5" s="1"/>
  <c r="AE15" i="5" s="1"/>
  <c r="X14" i="5"/>
  <c r="Z14" i="5" s="1"/>
  <c r="AB14" i="5" s="1"/>
  <c r="AD14" i="5" s="1"/>
  <c r="X21" i="5"/>
  <c r="Z21" i="5" s="1"/>
  <c r="AB21" i="5" s="1"/>
  <c r="AD21" i="5" s="1"/>
  <c r="Y20" i="5"/>
  <c r="AA20" i="5" s="1"/>
  <c r="AC20" i="5" s="1"/>
  <c r="AE20" i="5" s="1"/>
  <c r="X20" i="5"/>
  <c r="Z20" i="5" s="1"/>
  <c r="AB20" i="5" s="1"/>
  <c r="AD20" i="5" s="1"/>
  <c r="Y19" i="5"/>
  <c r="AA19" i="5" s="1"/>
  <c r="AC19" i="5" s="1"/>
  <c r="AE19" i="5" s="1"/>
  <c r="X28" i="5"/>
  <c r="Z28" i="5" s="1"/>
  <c r="AB28" i="5" s="1"/>
  <c r="AD28" i="5" s="1"/>
  <c r="X19" i="5"/>
  <c r="Z19" i="5" s="1"/>
  <c r="AB19" i="5" s="1"/>
  <c r="AD19" i="5" s="1"/>
  <c r="Y17" i="5"/>
  <c r="AA17" i="5" s="1"/>
  <c r="AC17" i="5" s="1"/>
  <c r="AE17" i="5" s="1"/>
  <c r="Y32" i="5"/>
  <c r="AA32" i="5" s="1"/>
  <c r="AC32" i="5" s="1"/>
  <c r="AE32" i="5" s="1"/>
  <c r="X17" i="5"/>
  <c r="Z17" i="5" s="1"/>
  <c r="AB17" i="5" s="1"/>
  <c r="AD17" i="5" s="1"/>
  <c r="Y16" i="5"/>
  <c r="AA16" i="5" s="1"/>
  <c r="AC16" i="5" s="1"/>
  <c r="AE16" i="5" s="1"/>
  <c r="X16" i="5"/>
  <c r="Z16" i="5" s="1"/>
  <c r="AB16" i="5" s="1"/>
  <c r="AD16" i="5" s="1"/>
  <c r="Y29" i="5"/>
  <c r="AA29" i="5" s="1"/>
  <c r="AC29" i="5" s="1"/>
  <c r="AE29" i="5" s="1"/>
  <c r="Y13" i="5"/>
  <c r="AA13" i="5" s="1"/>
  <c r="AC13" i="5" s="1"/>
  <c r="AE13" i="5" s="1"/>
  <c r="X29" i="5"/>
  <c r="Z29" i="5" s="1"/>
  <c r="AB29" i="5" s="1"/>
  <c r="AD29" i="5" s="1"/>
  <c r="X13" i="5"/>
  <c r="Z13" i="5" s="1"/>
  <c r="AB13" i="5" s="1"/>
  <c r="AD13" i="5" s="1"/>
  <c r="Y26" i="5"/>
  <c r="AA26" i="5" s="1"/>
  <c r="AC26" i="5" s="1"/>
  <c r="AE26" i="5" s="1"/>
  <c r="Y8" i="5"/>
  <c r="AA8" i="5" s="1"/>
  <c r="AC8" i="5" s="1"/>
  <c r="AE8" i="5" s="1"/>
  <c r="Y7" i="5"/>
  <c r="AA7" i="5" s="1"/>
  <c r="AC7" i="5" s="1"/>
  <c r="AE7" i="5" s="1"/>
  <c r="Y28" i="5"/>
  <c r="AA28" i="5" s="1"/>
  <c r="AC28" i="5" s="1"/>
  <c r="AE28" i="5" s="1"/>
  <c r="X9" i="5"/>
  <c r="Z9" i="5" s="1"/>
  <c r="AB9" i="5" s="1"/>
  <c r="AD9" i="5" s="1"/>
  <c r="X8" i="5"/>
  <c r="Z8" i="5" s="1"/>
  <c r="AB8" i="5" s="1"/>
  <c r="AD8" i="5" s="1"/>
  <c r="Y27" i="5"/>
  <c r="AA27" i="5" s="1"/>
  <c r="AC27" i="5" s="1"/>
  <c r="AE27" i="5" s="1"/>
  <c r="X11" i="5"/>
  <c r="Z11" i="5" s="1"/>
  <c r="AB11" i="5" s="1"/>
  <c r="AD11" i="5" s="1"/>
  <c r="Y25" i="5"/>
  <c r="AA25" i="5" s="1"/>
  <c r="AC25" i="5" s="1"/>
  <c r="AE25" i="5" s="1"/>
  <c r="X25" i="5"/>
  <c r="Z25" i="5" s="1"/>
  <c r="AB25" i="5" s="1"/>
  <c r="AD25" i="5" s="1"/>
  <c r="Y24" i="5"/>
  <c r="AA24" i="5" s="1"/>
  <c r="AC24" i="5" s="1"/>
  <c r="AE24" i="5" s="1"/>
  <c r="X7" i="5"/>
  <c r="Z7" i="5" s="1"/>
  <c r="AB7" i="5" s="1"/>
  <c r="AD7" i="5" s="1"/>
  <c r="Y31" i="5"/>
  <c r="AA31" i="5" s="1"/>
  <c r="AC31" i="5" s="1"/>
  <c r="AE31" i="5" s="1"/>
  <c r="Y11" i="5"/>
  <c r="AA11" i="5" s="1"/>
  <c r="AC11" i="5" s="1"/>
  <c r="AE11" i="5" s="1"/>
  <c r="Y9" i="5"/>
  <c r="AA9" i="5" s="1"/>
  <c r="AC9" i="5" s="1"/>
  <c r="AE9" i="5" s="1"/>
  <c r="Y18" i="5"/>
  <c r="AA18" i="5" s="1"/>
  <c r="AC18" i="5" s="1"/>
  <c r="AE18" i="5" s="1"/>
  <c r="Y12" i="5"/>
  <c r="AA12" i="5" s="1"/>
  <c r="AC12" i="5" s="1"/>
  <c r="AE12" i="5" s="1"/>
  <c r="Y4" i="5"/>
  <c r="AA4" i="5" s="1"/>
  <c r="AC4" i="5" s="1"/>
  <c r="AE4" i="5" s="1"/>
  <c r="X27" i="5"/>
  <c r="Z27" i="5" s="1"/>
  <c r="AB27" i="5" s="1"/>
  <c r="AD27" i="5" s="1"/>
  <c r="Y14" i="5"/>
  <c r="AA14" i="5" s="1"/>
  <c r="AC14" i="5" s="1"/>
  <c r="AE14" i="5" s="1"/>
  <c r="X26" i="5"/>
  <c r="Z26" i="5" s="1"/>
  <c r="AB26" i="5" s="1"/>
  <c r="AD26" i="5" s="1"/>
  <c r="X18" i="5"/>
  <c r="Z18" i="5" s="1"/>
  <c r="AB18" i="5" s="1"/>
  <c r="AD18" i="5" s="1"/>
  <c r="X12" i="5"/>
  <c r="Z12" i="5" s="1"/>
  <c r="AB12" i="5" s="1"/>
  <c r="AD12" i="5" s="1"/>
  <c r="X4" i="5"/>
  <c r="Z4" i="5" s="1"/>
  <c r="AB4" i="5" s="1"/>
  <c r="AD4" i="5" s="1"/>
  <c r="Y21" i="5"/>
  <c r="AA21" i="5" s="1"/>
  <c r="AC21" i="5" s="1"/>
  <c r="AE21" i="5" s="1"/>
  <c r="Y3" i="5"/>
  <c r="AA3" i="5" s="1"/>
  <c r="AC3" i="5" s="1"/>
  <c r="AE3" i="5" s="1"/>
  <c r="X5" i="5"/>
  <c r="Z5" i="5" s="1"/>
  <c r="AB5" i="5" s="1"/>
  <c r="AD5" i="5" s="1"/>
  <c r="Y23" i="5"/>
  <c r="AA23" i="5" s="1"/>
  <c r="AC23" i="5" s="1"/>
  <c r="AE23" i="5" s="1"/>
  <c r="Y22" i="5"/>
  <c r="AA22" i="5" s="1"/>
  <c r="AC22" i="5" s="1"/>
  <c r="AE22" i="5" s="1"/>
  <c r="Y6" i="5"/>
  <c r="AA6" i="5" s="1"/>
  <c r="AC6" i="5" s="1"/>
  <c r="AE6" i="5" s="1"/>
  <c r="U2" i="5"/>
  <c r="V2" i="5"/>
  <c r="W2" i="5"/>
  <c r="AF2" i="5"/>
  <c r="AG2" i="5"/>
  <c r="X2" i="5" l="1"/>
  <c r="Z2" i="5"/>
  <c r="AB2" i="5" s="1"/>
  <c r="AD2" i="5" s="1"/>
  <c r="Y2" i="5"/>
  <c r="AF9" i="5"/>
  <c r="AG9" i="5"/>
  <c r="AF11" i="5"/>
  <c r="AG11" i="5"/>
  <c r="AF12" i="5"/>
  <c r="AG12" i="5"/>
  <c r="AF13" i="5"/>
  <c r="AG13" i="5"/>
  <c r="AF14" i="5"/>
  <c r="AG14" i="5"/>
  <c r="AF15" i="5"/>
  <c r="AG15" i="5"/>
  <c r="AF16" i="5"/>
  <c r="AG16" i="5"/>
  <c r="AF17" i="5"/>
  <c r="AG17" i="5"/>
  <c r="AF18" i="5"/>
  <c r="AG18" i="5"/>
  <c r="AF19" i="5"/>
  <c r="AG19" i="5"/>
  <c r="AF20" i="5"/>
  <c r="AG20" i="5"/>
  <c r="AF21" i="5"/>
  <c r="AG21" i="5"/>
  <c r="AF22" i="5"/>
  <c r="AG22" i="5"/>
  <c r="AF23" i="5"/>
  <c r="AG23" i="5"/>
  <c r="AF24" i="5"/>
  <c r="AG24" i="5"/>
  <c r="AF25" i="5"/>
  <c r="AG25" i="5"/>
  <c r="AF26" i="5"/>
  <c r="AG26" i="5"/>
  <c r="AF27" i="5"/>
  <c r="AG27" i="5"/>
  <c r="AF28" i="5"/>
  <c r="AG28" i="5"/>
  <c r="AF29" i="5"/>
  <c r="AG29" i="5"/>
  <c r="AF31" i="5"/>
  <c r="AG31" i="5"/>
  <c r="AF32" i="5"/>
  <c r="AG32" i="5"/>
  <c r="AA2" i="5" l="1"/>
  <c r="AC2" i="5" s="1"/>
  <c r="AE2" i="5" s="1"/>
  <c r="AF8" i="5"/>
  <c r="AG8" i="5"/>
  <c r="AF7" i="5"/>
  <c r="AG7" i="5"/>
  <c r="AF6" i="5"/>
  <c r="AG6" i="5"/>
  <c r="AF3" i="5"/>
  <c r="AG3" i="5"/>
  <c r="AF4" i="5"/>
  <c r="AG4" i="5"/>
  <c r="AF5" i="5"/>
  <c r="AG5" i="5"/>
  <c r="A30" i="2" l="1"/>
  <c r="B30" i="2"/>
  <c r="C30" i="2"/>
  <c r="O30" i="2"/>
  <c r="P30" i="2"/>
  <c r="Q30" i="2"/>
  <c r="A31" i="2"/>
  <c r="B31" i="2"/>
  <c r="C31" i="2"/>
  <c r="O31" i="2"/>
  <c r="R31" i="2" s="1"/>
  <c r="T31" i="2" s="1"/>
  <c r="V31" i="2" s="1"/>
  <c r="X31" i="2" s="1"/>
  <c r="P31" i="2"/>
  <c r="Q31" i="2"/>
  <c r="A29" i="2"/>
  <c r="B29" i="2"/>
  <c r="C29" i="2"/>
  <c r="O29" i="2"/>
  <c r="P29" i="2"/>
  <c r="Q29" i="2"/>
  <c r="S29" i="2" l="1"/>
  <c r="U29" i="2" s="1"/>
  <c r="W29" i="2" s="1"/>
  <c r="Y29" i="2" s="1"/>
  <c r="R30" i="2"/>
  <c r="T30" i="2" s="1"/>
  <c r="V30" i="2" s="1"/>
  <c r="X30" i="2" s="1"/>
  <c r="S30" i="2"/>
  <c r="U30" i="2" s="1"/>
  <c r="W30" i="2" s="1"/>
  <c r="Y30" i="2" s="1"/>
  <c r="S31" i="2"/>
  <c r="U31" i="2" s="1"/>
  <c r="W31" i="2" s="1"/>
  <c r="Y31" i="2" s="1"/>
  <c r="R29" i="2"/>
  <c r="T29" i="2" s="1"/>
  <c r="V29" i="2" s="1"/>
  <c r="X29" i="2" s="1"/>
  <c r="O10" i="2" l="1"/>
  <c r="P10" i="2"/>
  <c r="O11" i="2"/>
  <c r="P11" i="2"/>
  <c r="O12" i="2"/>
  <c r="P12" i="2"/>
  <c r="O13" i="2"/>
  <c r="P13" i="2"/>
  <c r="O14" i="2"/>
  <c r="P14" i="2"/>
  <c r="Q14" i="2"/>
  <c r="S14" i="2" s="1"/>
  <c r="R14" i="2"/>
  <c r="T14" i="2" s="1"/>
  <c r="O15" i="2"/>
  <c r="P15" i="2"/>
  <c r="Q15" i="2"/>
  <c r="S15" i="2" s="1"/>
  <c r="R15" i="2"/>
  <c r="T15" i="2" s="1"/>
  <c r="O16" i="2"/>
  <c r="P16" i="2"/>
  <c r="O17" i="2"/>
  <c r="P17" i="2"/>
  <c r="O18" i="2"/>
  <c r="P18" i="2"/>
  <c r="Q18" i="2"/>
  <c r="S18" i="2" s="1"/>
  <c r="R18" i="2"/>
  <c r="T18" i="2" s="1"/>
  <c r="O19" i="2"/>
  <c r="P19" i="2"/>
  <c r="O20" i="2"/>
  <c r="P20" i="2"/>
  <c r="O21" i="2"/>
  <c r="P21" i="2"/>
  <c r="O22" i="2"/>
  <c r="P22" i="2"/>
  <c r="Q22" i="2"/>
  <c r="S22" i="2" s="1"/>
  <c r="R22" i="2"/>
  <c r="T22" i="2" s="1"/>
  <c r="O23" i="2"/>
  <c r="P23" i="2"/>
  <c r="C18" i="2" l="1"/>
  <c r="C15" i="2" l="1"/>
  <c r="A14" i="2" l="1"/>
  <c r="B14" i="2"/>
  <c r="C14" i="2"/>
  <c r="A16" i="2"/>
  <c r="B16" i="2"/>
  <c r="C16" i="2"/>
  <c r="A22" i="2"/>
  <c r="B22" i="2"/>
  <c r="C22" i="2"/>
  <c r="A23" i="2"/>
  <c r="B23" i="2"/>
  <c r="C23" i="2"/>
  <c r="B3" i="2"/>
  <c r="C3" i="2"/>
  <c r="B4" i="2"/>
  <c r="C4" i="2"/>
  <c r="B5" i="2"/>
  <c r="C5" i="2"/>
  <c r="B6" i="2"/>
  <c r="C6" i="2"/>
  <c r="B7" i="2"/>
  <c r="C7" i="2"/>
  <c r="B8" i="2"/>
  <c r="C8" i="2"/>
  <c r="B9" i="2"/>
  <c r="C9" i="2"/>
  <c r="B10" i="2"/>
  <c r="C10" i="2"/>
  <c r="B11" i="2"/>
  <c r="C11" i="2"/>
  <c r="B12" i="2"/>
  <c r="C12" i="2"/>
  <c r="B13" i="2"/>
  <c r="C13" i="2"/>
  <c r="B17" i="2"/>
  <c r="C17" i="2"/>
  <c r="B19" i="2"/>
  <c r="C19" i="2"/>
  <c r="B20" i="2"/>
  <c r="C20" i="2"/>
  <c r="B21" i="2"/>
  <c r="C21" i="2"/>
  <c r="A3" i="2"/>
  <c r="A4" i="2"/>
  <c r="A5" i="2"/>
  <c r="A6" i="2"/>
  <c r="A7" i="2"/>
  <c r="A8" i="2"/>
  <c r="A9" i="2"/>
  <c r="A10" i="2"/>
  <c r="A11" i="2"/>
  <c r="A12" i="2"/>
  <c r="A13" i="2"/>
  <c r="A17" i="2"/>
  <c r="A19" i="2"/>
  <c r="A20" i="2"/>
  <c r="A21" i="2"/>
  <c r="B2" i="2"/>
  <c r="C2" i="2"/>
  <c r="A2" i="2"/>
  <c r="E30" i="3" l="1"/>
  <c r="E26" i="3"/>
  <c r="E25" i="3"/>
  <c r="E24" i="3"/>
  <c r="E23" i="3"/>
  <c r="E22" i="3"/>
  <c r="E21" i="3"/>
  <c r="E12" i="3"/>
  <c r="E4" i="3"/>
  <c r="E5" i="3"/>
  <c r="E6" i="3"/>
  <c r="E7" i="3"/>
  <c r="E8" i="3"/>
  <c r="E3" i="3"/>
  <c r="E11" i="3" l="1"/>
  <c r="F11" i="3" s="1"/>
  <c r="E29" i="3"/>
  <c r="F29" i="3" s="1"/>
  <c r="E14" i="3"/>
  <c r="E32" i="3" l="1"/>
  <c r="O7" i="2"/>
  <c r="P7" i="2"/>
  <c r="O8" i="2"/>
  <c r="P8" i="2"/>
  <c r="O9" i="2"/>
  <c r="P9" i="2"/>
  <c r="P6" i="2"/>
  <c r="P5" i="2"/>
  <c r="O3" i="2"/>
  <c r="O5" i="2"/>
  <c r="O6" i="2"/>
  <c r="I6" i="2"/>
  <c r="R6" i="2" s="1"/>
  <c r="T6" i="2" s="1"/>
  <c r="I7" i="2"/>
  <c r="R7" i="2" s="1"/>
  <c r="T7" i="2" s="1"/>
  <c r="I8" i="2"/>
  <c r="Q8" i="2" s="1"/>
  <c r="S8" i="2" s="1"/>
  <c r="I9" i="2"/>
  <c r="R9" i="2" s="1"/>
  <c r="T9" i="2" s="1"/>
  <c r="I10" i="2"/>
  <c r="I11" i="2"/>
  <c r="I12" i="2"/>
  <c r="I13" i="2"/>
  <c r="I16" i="2"/>
  <c r="I17" i="2"/>
  <c r="I19" i="2"/>
  <c r="I20" i="2"/>
  <c r="I21" i="2"/>
  <c r="I23" i="2"/>
  <c r="I5" i="2"/>
  <c r="R5" i="2" s="1"/>
  <c r="T5" i="2" s="1"/>
  <c r="Q3" i="2"/>
  <c r="S3" i="2" s="1"/>
  <c r="R3" i="2"/>
  <c r="T3" i="2" s="1"/>
  <c r="O2" i="2"/>
  <c r="R2" i="2"/>
  <c r="T2" i="2" s="1"/>
  <c r="Q2" i="2"/>
  <c r="S2" i="2" s="1"/>
  <c r="Q20" i="2" l="1"/>
  <c r="S20" i="2" s="1"/>
  <c r="R20" i="2"/>
  <c r="T20" i="2" s="1"/>
  <c r="Q17" i="2"/>
  <c r="S17" i="2" s="1"/>
  <c r="R17" i="2"/>
  <c r="T17" i="2" s="1"/>
  <c r="R16" i="2"/>
  <c r="T16" i="2" s="1"/>
  <c r="Q16" i="2"/>
  <c r="S16" i="2" s="1"/>
  <c r="R13" i="2"/>
  <c r="T13" i="2" s="1"/>
  <c r="Q13" i="2"/>
  <c r="S13" i="2" s="1"/>
  <c r="Q12" i="2"/>
  <c r="S12" i="2" s="1"/>
  <c r="R12" i="2"/>
  <c r="T12" i="2" s="1"/>
  <c r="Q23" i="2"/>
  <c r="S23" i="2" s="1"/>
  <c r="R23" i="2"/>
  <c r="T23" i="2" s="1"/>
  <c r="Q21" i="2"/>
  <c r="S21" i="2" s="1"/>
  <c r="R21" i="2"/>
  <c r="T21" i="2" s="1"/>
  <c r="Q19" i="2"/>
  <c r="S19" i="2" s="1"/>
  <c r="R19" i="2"/>
  <c r="T19" i="2" s="1"/>
  <c r="R11" i="2"/>
  <c r="T11" i="2" s="1"/>
  <c r="Q11" i="2"/>
  <c r="S11" i="2" s="1"/>
  <c r="R10" i="2"/>
  <c r="T10" i="2" s="1"/>
  <c r="Q10" i="2"/>
  <c r="S10" i="2" s="1"/>
  <c r="R8" i="2"/>
  <c r="T8" i="2" s="1"/>
  <c r="Q9" i="2"/>
  <c r="S9" i="2" s="1"/>
  <c r="Q6" i="2"/>
  <c r="S6" i="2" s="1"/>
  <c r="Q5" i="2"/>
  <c r="S5" i="2" s="1"/>
  <c r="Q7" i="2"/>
  <c r="S7" i="2" s="1"/>
  <c r="B1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Autore</author>
  </authors>
  <commentList>
    <comment ref="V1" authorId="0" shapeId="0" xr:uid="{AE4931C3-A4BD-410D-A372-5FA01DAF36FE}">
      <text>
        <r>
          <rPr>
            <b/>
            <sz val="9"/>
            <color indexed="81"/>
            <rFont val="Tahoma"/>
            <family val="2"/>
          </rPr>
          <t>Autore:</t>
        </r>
        <r>
          <rPr>
            <sz val="9"/>
            <color indexed="81"/>
            <rFont val="Tahoma"/>
            <family val="2"/>
          </rPr>
          <t xml:space="preserve">
INSERIRE DATA E NUMERO COPIE QUI DOPO AVER COPIATO I DATI PRESENTI NELLE 3 COLONNE PRECEDENTI</t>
        </r>
      </text>
    </comment>
    <comment ref="AD1" authorId="0" shapeId="0" xr:uid="{EB591A44-0CF1-474B-9F89-FB291CE581B5}">
      <text>
        <r>
          <rPr>
            <b/>
            <sz val="9"/>
            <color indexed="81"/>
            <rFont val="Tahoma"/>
            <family val="2"/>
          </rPr>
          <t>Autore:</t>
        </r>
        <r>
          <rPr>
            <sz val="9"/>
            <color indexed="81"/>
            <rFont val="Tahoma"/>
            <family val="2"/>
          </rPr>
          <t xml:space="preserve">
trascinare sotto la formula dalla cella 4 ! attenzione</t>
        </r>
      </text>
    </comment>
    <comment ref="AE1" authorId="0" shapeId="0" xr:uid="{4DBB177D-54CA-4FF6-AF78-10481C93B09D}">
      <text>
        <r>
          <rPr>
            <b/>
            <sz val="9"/>
            <color indexed="81"/>
            <rFont val="Tahoma"/>
            <family val="2"/>
          </rPr>
          <t>Autore:</t>
        </r>
        <r>
          <rPr>
            <sz val="9"/>
            <color indexed="81"/>
            <rFont val="Tahoma"/>
            <family val="2"/>
          </rPr>
          <t xml:space="preserve">
trascinare sotto la fomula dalla cella 4 </t>
        </r>
      </text>
    </comment>
    <comment ref="AO1" authorId="0" shapeId="0" xr:uid="{DAA9DA2A-B228-40A3-B976-E6C85CE7E00C}">
      <text>
        <r>
          <rPr>
            <b/>
            <sz val="9"/>
            <color indexed="81"/>
            <rFont val="Tahoma"/>
            <family val="2"/>
          </rPr>
          <t>Autore:</t>
        </r>
        <r>
          <rPr>
            <sz val="9"/>
            <color indexed="81"/>
            <rFont val="Tahoma"/>
            <family val="2"/>
          </rPr>
          <t xml:space="preserve">
colore sfondo se verificati</t>
        </r>
      </text>
    </comment>
    <comment ref="AP1" authorId="0" shapeId="0" xr:uid="{025E7F32-F6CD-4C5C-BA06-9E1D7B12482A}">
      <text>
        <r>
          <rPr>
            <b/>
            <sz val="9"/>
            <color indexed="81"/>
            <rFont val="Tahoma"/>
            <family val="2"/>
          </rPr>
          <t>Autore:</t>
        </r>
        <r>
          <rPr>
            <sz val="9"/>
            <color indexed="81"/>
            <rFont val="Tahoma"/>
            <family val="2"/>
          </rPr>
          <t xml:space="preserve">
colore sfondo se verificati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Autore</author>
  </authors>
  <commentList>
    <comment ref="R1" authorId="0" shapeId="0" xr:uid="{00000000-0006-0000-0500-000001000000}">
      <text>
        <r>
          <rPr>
            <sz val="11"/>
            <color theme="1"/>
            <rFont val="Calibri"/>
            <family val="2"/>
            <scheme val="minor"/>
          </rPr>
  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INSERIRE DATA E NUMERO COPIE QUI DOPO AVER COPIATO I DATI PRESENTI NELLE 3 COLONNE PRECEDENTI</t>
        </r>
      </text>
    </comment>
    <comment ref="V1" authorId="0" shapeId="0" xr:uid="{00000000-0006-0000-0500-000002000000}">
      <text>
        <r>
          <rPr>
            <b/>
            <sz val="9"/>
            <color indexed="81"/>
            <rFont val="Tahoma"/>
            <family val="2"/>
          </rPr>
          <t>Autore:</t>
        </r>
        <r>
          <rPr>
            <sz val="9"/>
            <color indexed="81"/>
            <rFont val="Tahoma"/>
            <family val="2"/>
          </rPr>
          <t xml:space="preserve">
formula cella n2 da trascinare sotto - anche x altre colonne con lo sfondo</t>
        </r>
      </text>
    </comment>
    <comment ref="Z1" authorId="0" shapeId="0" xr:uid="{00000000-0006-0000-0500-000003000000}">
      <text>
        <r>
          <rPr>
            <b/>
            <sz val="9"/>
            <color indexed="81"/>
            <rFont val="Tahoma"/>
            <family val="2"/>
          </rPr>
          <t>Autore:</t>
        </r>
        <r>
          <rPr>
            <sz val="9"/>
            <color indexed="81"/>
            <rFont val="Tahoma"/>
            <family val="2"/>
          </rPr>
          <t xml:space="preserve">
trascinare sotto la formula dalla cella 4 ! attenzione</t>
        </r>
      </text>
    </comment>
    <comment ref="AA1" authorId="0" shapeId="0" xr:uid="{00000000-0006-0000-0500-000004000000}">
      <text>
        <r>
          <rPr>
            <b/>
            <sz val="9"/>
            <color indexed="81"/>
            <rFont val="Tahoma"/>
            <family val="2"/>
          </rPr>
          <t>Autore:</t>
        </r>
        <r>
          <rPr>
            <sz val="9"/>
            <color indexed="81"/>
            <rFont val="Tahoma"/>
            <family val="2"/>
          </rPr>
          <t xml:space="preserve">
trascinare sotto la fomula dalla cella 4 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Autore</author>
  </authors>
  <commentList>
    <comment ref="O1" authorId="0" shapeId="0" xr:uid="{00000000-0006-0000-0700-000001000000}">
      <text>
        <r>
          <rPr>
            <b/>
            <sz val="9"/>
            <color indexed="81"/>
            <rFont val="Tahoma"/>
            <family val="2"/>
          </rPr>
          <t>Autore:</t>
        </r>
        <r>
          <rPr>
            <sz val="9"/>
            <color indexed="81"/>
            <rFont val="Tahoma"/>
            <family val="2"/>
          </rPr>
          <t xml:space="preserve">
formula cella n2 da trascinare sotto - anche x altre colonne con lo sfondo</t>
        </r>
      </text>
    </comment>
    <comment ref="S1" authorId="0" shapeId="0" xr:uid="{00000000-0006-0000-0700-000002000000}">
      <text>
        <r>
          <rPr>
            <b/>
            <sz val="9"/>
            <color indexed="81"/>
            <rFont val="Tahoma"/>
            <family val="2"/>
          </rPr>
          <t>Autore:</t>
        </r>
        <r>
          <rPr>
            <sz val="9"/>
            <color indexed="81"/>
            <rFont val="Tahoma"/>
            <family val="2"/>
          </rPr>
          <t xml:space="preserve">
trascinare sotto la formula dalla cella 4 ! attenzione</t>
        </r>
      </text>
    </comment>
    <comment ref="T1" authorId="0" shapeId="0" xr:uid="{00000000-0006-0000-0700-000003000000}">
      <text>
        <r>
          <rPr>
            <b/>
            <sz val="9"/>
            <color indexed="81"/>
            <rFont val="Tahoma"/>
            <family val="2"/>
          </rPr>
          <t>Autore:</t>
        </r>
        <r>
          <rPr>
            <sz val="9"/>
            <color indexed="81"/>
            <rFont val="Tahoma"/>
            <family val="2"/>
          </rPr>
          <t xml:space="preserve">
trascinare sotto la fomula dalla cella 4 </t>
        </r>
      </text>
    </comment>
  </commentList>
</comments>
</file>

<file path=xl/sharedStrings.xml><?xml version="1.0" encoding="utf-8"?>
<sst xmlns="http://schemas.openxmlformats.org/spreadsheetml/2006/main" count="867" uniqueCount="374">
  <si>
    <t>SV GOMMA</t>
  </si>
  <si>
    <t>Costo mese</t>
  </si>
  <si>
    <t>Costro Trimestrale</t>
  </si>
  <si>
    <t>-</t>
  </si>
  <si>
    <t>NEW NEV</t>
  </si>
  <si>
    <t>RICOH MPC 2003</t>
  </si>
  <si>
    <t>MARELL</t>
  </si>
  <si>
    <t>NICKERSON</t>
  </si>
  <si>
    <t>JOSUEL BROKER</t>
  </si>
  <si>
    <t>AVV VALVES</t>
  </si>
  <si>
    <t>RICOH MP 2501</t>
  </si>
  <si>
    <t>riscatto 50 euro</t>
  </si>
  <si>
    <t>DELTA</t>
  </si>
  <si>
    <t>TA 2506i</t>
  </si>
  <si>
    <t xml:space="preserve">TA 4006i </t>
  </si>
  <si>
    <t>PIAZZALUNGA</t>
  </si>
  <si>
    <t>GHILARDI ROMANO</t>
  </si>
  <si>
    <t>TIPO MACCHINA</t>
  </si>
  <si>
    <t>DATA INIZIO</t>
  </si>
  <si>
    <t>DATA FINE</t>
  </si>
  <si>
    <t>NOTE</t>
  </si>
  <si>
    <t>DATA PRECED. CONGUAGLIO</t>
  </si>
  <si>
    <t>CLIENTE</t>
  </si>
  <si>
    <t>PERIODICITA FATTURAZIONE</t>
  </si>
  <si>
    <t>DOCUMENTO</t>
  </si>
  <si>
    <t>IMPORTO CANONE</t>
  </si>
  <si>
    <t>PAGAMENTO</t>
  </si>
  <si>
    <t>BIMESTRALE</t>
  </si>
  <si>
    <t>DDT</t>
  </si>
  <si>
    <t>SI</t>
  </si>
  <si>
    <t>DEFAULT</t>
  </si>
  <si>
    <t>MENSILE</t>
  </si>
  <si>
    <t>FATTURA</t>
  </si>
  <si>
    <t>RIBA 30+10NS</t>
  </si>
  <si>
    <t>TRIMESTRALE</t>
  </si>
  <si>
    <t>RIBA 30+15</t>
  </si>
  <si>
    <t>INIMITABLE SERVICE</t>
  </si>
  <si>
    <t>TIPOLOGIA</t>
  </si>
  <si>
    <t xml:space="preserve"> COPIATRICE</t>
  </si>
  <si>
    <t xml:space="preserve"> SERVER</t>
  </si>
  <si>
    <t xml:space="preserve">TA B/N 5056i </t>
  </si>
  <si>
    <t>FATT CON NOC</t>
  </si>
  <si>
    <t>X</t>
  </si>
  <si>
    <t>SMEA</t>
  </si>
  <si>
    <t>x</t>
  </si>
  <si>
    <t>VALLI HOME</t>
  </si>
  <si>
    <t>colore NUMERO COPIE</t>
  </si>
  <si>
    <t>DIGITAL MARKETING 0</t>
  </si>
  <si>
    <t>FILATURA PREALPINA</t>
  </si>
  <si>
    <t>NOTE FATTURAZIONE</t>
  </si>
  <si>
    <t>ACCADEMIA 61</t>
  </si>
  <si>
    <t>FRERI E BRIGNOLI</t>
  </si>
  <si>
    <t>nero  NUMERO COPIE</t>
  </si>
  <si>
    <t>FINAZZI GEOM LORIS</t>
  </si>
  <si>
    <t>DA LUGLIO RIMUOVERE - FINITO CONTRATTO</t>
  </si>
  <si>
    <t>NR PAG NERO PREC CONGUAGLIO</t>
  </si>
  <si>
    <t>NR PAG COLORE PREC CONGUAGLIO</t>
  </si>
  <si>
    <t xml:space="preserve"> DATA ULTIMO CONGUAGLIO</t>
  </si>
  <si>
    <r>
      <t xml:space="preserve">Copie Comprese </t>
    </r>
    <r>
      <rPr>
        <b/>
        <sz val="11"/>
        <color rgb="FFFF0000"/>
        <rFont val="Calibri"/>
        <family val="2"/>
        <scheme val="minor"/>
      </rPr>
      <t>Colore</t>
    </r>
    <r>
      <rPr>
        <b/>
        <sz val="11"/>
        <color theme="1"/>
        <rFont val="Calibri"/>
        <family val="2"/>
        <scheme val="minor"/>
      </rPr>
      <t xml:space="preserve"> PER PERIODO FATTURAZ.</t>
    </r>
  </si>
  <si>
    <r>
      <t xml:space="preserve">Copie comprese </t>
    </r>
    <r>
      <rPr>
        <b/>
        <sz val="11"/>
        <color rgb="FFFF0000"/>
        <rFont val="Calibri"/>
        <family val="2"/>
        <scheme val="minor"/>
      </rPr>
      <t>BN</t>
    </r>
    <r>
      <rPr>
        <b/>
        <sz val="11"/>
        <color theme="1"/>
        <rFont val="Calibri"/>
        <family val="2"/>
        <scheme val="minor"/>
      </rPr>
      <t xml:space="preserve"> PER PERIODO FATTURAZ.</t>
    </r>
  </si>
  <si>
    <r>
      <t xml:space="preserve">Costo </t>
    </r>
    <r>
      <rPr>
        <b/>
        <sz val="11"/>
        <color rgb="FFFF0000"/>
        <rFont val="Calibri"/>
        <family val="2"/>
        <scheme val="minor"/>
      </rPr>
      <t>BN</t>
    </r>
    <r>
      <rPr>
        <b/>
        <sz val="11"/>
        <color theme="1"/>
        <rFont val="Calibri"/>
        <family val="2"/>
        <scheme val="minor"/>
      </rPr>
      <t xml:space="preserve"> ECCEDENZE</t>
    </r>
  </si>
  <si>
    <r>
      <t xml:space="preserve">Costo </t>
    </r>
    <r>
      <rPr>
        <b/>
        <sz val="11"/>
        <color rgb="FFFF0000"/>
        <rFont val="Calibri"/>
        <family val="2"/>
        <scheme val="minor"/>
      </rPr>
      <t>Colore</t>
    </r>
    <r>
      <rPr>
        <b/>
        <sz val="11"/>
        <color theme="1"/>
        <rFont val="Calibri"/>
        <family val="2"/>
        <scheme val="minor"/>
      </rPr>
      <t xml:space="preserve"> ECCEDENZE</t>
    </r>
  </si>
  <si>
    <t>NERO MEDIA  MENSILE</t>
  </si>
  <si>
    <t>COLORE MEDIA  MENSILE</t>
  </si>
  <si>
    <t>NERO MEDIA  MENSILE ECCEDENTE</t>
  </si>
  <si>
    <t>COLORE MEDIA  MENSILE ECCEDENTE</t>
  </si>
  <si>
    <t>NR COPIE colore NEL PERIODO TRA 2 CONGUAGLI</t>
  </si>
  <si>
    <t>NR COPIE nero NEL PERIODO TRA 2 CONGUAGLI</t>
  </si>
  <si>
    <t>bollate eccedenze con utlimo conguaglio</t>
  </si>
  <si>
    <t>RICOH MPC 2011</t>
  </si>
  <si>
    <t>periodicita mesi</t>
  </si>
  <si>
    <t xml:space="preserve">Estensione Garanzia a 3 Anni </t>
  </si>
  <si>
    <t>Cartuccia COLORE 5K</t>
  </si>
  <si>
    <t>Cartuccia Nero 10K</t>
  </si>
  <si>
    <t>WF-C5790DWF + 1 10K NERO + 1 COLORE DA 5K</t>
  </si>
  <si>
    <t>WF-6590DWF + 1 10K NERO + 1 COLORE DA7K</t>
  </si>
  <si>
    <t>Cartuccia COLORE 7K</t>
  </si>
  <si>
    <t>conteggiato in noc - SERVER FISICO FATTURATO COME SERVER VIRTUALE CON NOC</t>
  </si>
  <si>
    <t xml:space="preserve"> SERVER + PLOTTER + NB + PC + FIREWALL</t>
  </si>
  <si>
    <t>SERVER RISCATTO al 10%</t>
  </si>
  <si>
    <t>COLORIFICIO FERRARIS</t>
  </si>
  <si>
    <t>SEFF</t>
  </si>
  <si>
    <t xml:space="preserve">EPSON WF-6590DWF </t>
  </si>
  <si>
    <t>DDT CON EXCHANGE</t>
  </si>
  <si>
    <t>fattura unica x 2</t>
  </si>
  <si>
    <t>FATTURA UNICA INSIEME A WEBROOT E SERVIZI</t>
  </si>
  <si>
    <t>DDT CON OFFICE 365 RICORRENTE tot 335</t>
  </si>
  <si>
    <t>PARROCCHIA DI COSTA</t>
  </si>
  <si>
    <t>STUDIO SOCIETA IMPRESA</t>
  </si>
  <si>
    <t>STUDIO SOC IMPRESA</t>
  </si>
  <si>
    <t>INCEMENTO</t>
  </si>
  <si>
    <t>COPIATRICE USATA</t>
  </si>
  <si>
    <t>RICOH</t>
  </si>
  <si>
    <t>SEMESTRALE</t>
  </si>
  <si>
    <t>LA PRIMA FORNITURA COMPRENDE 2 KIT COLORE E 3 NERI</t>
  </si>
  <si>
    <t>NUMERO MESI TRA I 2 CONGUAGLI</t>
  </si>
  <si>
    <t>tot.fattura conguaglio colore</t>
  </si>
  <si>
    <t>tot.fattura conguaglio nero</t>
  </si>
  <si>
    <t>NR COPIE fattura conguaglio nero</t>
  </si>
  <si>
    <t>NR COPIE fattura conguaglio colore</t>
  </si>
  <si>
    <t>AUTOTRASPORTI PESENTI</t>
  </si>
  <si>
    <t>ok</t>
  </si>
  <si>
    <t>chiusi</t>
  </si>
  <si>
    <t>TERZI GROUP</t>
  </si>
  <si>
    <t>noc</t>
  </si>
  <si>
    <t xml:space="preserve">TA B/N 4056i </t>
  </si>
  <si>
    <t>IMMOBILIARE BRUMANS</t>
  </si>
  <si>
    <t>ALERT</t>
  </si>
  <si>
    <r>
      <t xml:space="preserve">Costo </t>
    </r>
    <r>
      <rPr>
        <sz val="11"/>
        <color rgb="FFFF0000"/>
        <rFont val="Calibri"/>
        <family val="2"/>
        <scheme val="minor"/>
      </rPr>
      <t>Colore</t>
    </r>
    <r>
      <rPr>
        <sz val="11"/>
        <color theme="1"/>
        <rFont val="Calibri"/>
        <family val="2"/>
        <scheme val="minor"/>
      </rPr>
      <t xml:space="preserve"> ECCEDENZE</t>
    </r>
  </si>
  <si>
    <t>FATTO</t>
  </si>
  <si>
    <t>IPOTESI NUMERO TONER NERI USATI ALLA DATA CONGUAGLIO</t>
  </si>
  <si>
    <t>NUMERO COPIE TONER NERO</t>
  </si>
  <si>
    <t>NUMERO COPIE TONER COLORI</t>
  </si>
  <si>
    <t>IPOTESI NUMERO TONER KIT COLORE USATI ALLA DATA CONGUAGLIO</t>
  </si>
  <si>
    <t>officina</t>
  </si>
  <si>
    <t>note stamp</t>
  </si>
  <si>
    <t>SPAM</t>
  </si>
  <si>
    <t xml:space="preserve"> DATA CONGUAGLIO ATTUALE</t>
  </si>
  <si>
    <t xml:space="preserve">TA B/N 4062i </t>
  </si>
  <si>
    <t>primo piano</t>
  </si>
  <si>
    <t>estero</t>
  </si>
  <si>
    <t>italia</t>
  </si>
  <si>
    <t>CHIODINI ROBERTO</t>
  </si>
  <si>
    <t>fare richiesta</t>
  </si>
  <si>
    <t>TA 2507i</t>
  </si>
  <si>
    <t>P-5536i B/N MFP</t>
  </si>
  <si>
    <t>F.O.R.I.A. S.R.L.</t>
  </si>
  <si>
    <t>usare questa formula con il prossimo conteggio da giugno 2020</t>
  </si>
  <si>
    <t>-&gt;</t>
  </si>
  <si>
    <t>nota x chiodini</t>
  </si>
  <si>
    <t>colore</t>
  </si>
  <si>
    <t>nero</t>
  </si>
  <si>
    <t>tot</t>
  </si>
  <si>
    <t>copie al 27/4/2020 - BOLLATO CONGUAGLIO FINE APRILE</t>
  </si>
  <si>
    <t>CHIUSO NOLEGGIO</t>
  </si>
  <si>
    <t>filatura</t>
  </si>
  <si>
    <t>ta 2507</t>
  </si>
  <si>
    <t>utilizzeremo data 1/7 come inizio noleggio anche se consegnata 14-5 anche per conteggi copie usiamo 1/7</t>
  </si>
  <si>
    <t>B/N</t>
  </si>
  <si>
    <t>nr toner neri consegnati alla data conguaglio</t>
  </si>
  <si>
    <t>nr kit toner colore consegnati alla data conguaglio</t>
  </si>
  <si>
    <t>WATER E LIFE LAB</t>
  </si>
  <si>
    <t>R9C0410254</t>
  </si>
  <si>
    <t>R9C0410245</t>
  </si>
  <si>
    <t>F.M. RECUPERI</t>
  </si>
  <si>
    <t>ORTELLI CONSULTING</t>
  </si>
  <si>
    <t>OTO AGENCY</t>
  </si>
  <si>
    <t>CEMIAT</t>
  </si>
  <si>
    <t>TA 5007 CI MFP</t>
  </si>
  <si>
    <t>data controllo</t>
  </si>
  <si>
    <t>mail</t>
  </si>
  <si>
    <t>ME.MO</t>
  </si>
  <si>
    <t>ta2506ciaccademia61@e-send.it</t>
  </si>
  <si>
    <t>amministrazione-pesenti@e-send.it</t>
  </si>
  <si>
    <t>pesenti-ta@e-send.it</t>
  </si>
  <si>
    <t>ta4062pesenti01@e-send.it</t>
  </si>
  <si>
    <t>ta4062pesenti02@e-send.it</t>
  </si>
  <si>
    <t>ta5007CEMIAT@e-send.it</t>
  </si>
  <si>
    <t>ferraris@e-send.it</t>
  </si>
  <si>
    <t>stampantekm0@e-send.it</t>
  </si>
  <si>
    <t>ta2507fmrecuperi@e-send.it</t>
  </si>
  <si>
    <t>ta2507foriasrl@e-send.it</t>
  </si>
  <si>
    <t>ta2507cifilaturaprealpina@e-send.it</t>
  </si>
  <si>
    <t>freribrignoli@e-send.it</t>
  </si>
  <si>
    <t>taghilardi@e-send.it</t>
  </si>
  <si>
    <t>ta2506brumans@e-send.it</t>
  </si>
  <si>
    <t>ta2507ortelliconsulting@e-send.it</t>
  </si>
  <si>
    <t>stampantipiazzalunga@e-send.it</t>
  </si>
  <si>
    <t>ta5007cipiazzalunga@e-send.it</t>
  </si>
  <si>
    <t>ta2507ciseff@e-send.it</t>
  </si>
  <si>
    <t>sseita2506@e-send.it</t>
  </si>
  <si>
    <t>stampantisvgomma@e-send.it</t>
  </si>
  <si>
    <t>ta4062svgomma@e-send.it</t>
  </si>
  <si>
    <t>stampanteterzigroup@e-send.it</t>
  </si>
  <si>
    <t>stampantivallihome@e-send.it</t>
  </si>
  <si>
    <t>stampantiwater@e-send.it</t>
  </si>
  <si>
    <t>ta2507colorificioferraris@e-send.it</t>
  </si>
  <si>
    <t>ta2507memo@e-send.it</t>
  </si>
  <si>
    <t>ta4056svgomma@e-send.it</t>
  </si>
  <si>
    <t>nr toner di scorta alla data controllo manuale</t>
  </si>
  <si>
    <t>g477m330244</t>
  </si>
  <si>
    <t>SECONDA</t>
  </si>
  <si>
    <t>FAMITEX</t>
  </si>
  <si>
    <t>ta5536famitex@e-send.it</t>
  </si>
  <si>
    <t>ta2507fondunicampus@e-send.it</t>
  </si>
  <si>
    <t>ta2507immpoloni@e-send.it</t>
  </si>
  <si>
    <t>POLONI IMMOBILIARE</t>
  </si>
  <si>
    <t>finance 1102TB3UT0R9C1617986</t>
  </si>
  <si>
    <t>SOLIVERI</t>
  </si>
  <si>
    <t>RGT1117415</t>
  </si>
  <si>
    <t>RGT1117398</t>
  </si>
  <si>
    <t>costo al mese</t>
  </si>
  <si>
    <t>costo mese/copie comprese</t>
  </si>
  <si>
    <t>ta3508piazzalunga@e-send.it</t>
  </si>
  <si>
    <t>TA 3508 ci</t>
  </si>
  <si>
    <t>H571Z08666</t>
  </si>
  <si>
    <t>RAL-GOM</t>
  </si>
  <si>
    <t>H571Z08754</t>
  </si>
  <si>
    <t xml:space="preserve">1 kit + 1 ciano </t>
  </si>
  <si>
    <t>ASSOCIAZIONE OSFIN (FONDAZIONE UNICAMPUS)</t>
  </si>
  <si>
    <t>DELTA IMPIANTI</t>
  </si>
  <si>
    <t>ta3508ralgom@e-send.it</t>
  </si>
  <si>
    <t>VFL7709758</t>
  </si>
  <si>
    <t>ta3508cideltaimpianti@e-send.it</t>
  </si>
  <si>
    <t>ta2506cideltaimpianti@e-send.it</t>
  </si>
  <si>
    <t>ta3508ciosfin-fp@e-send.it</t>
  </si>
  <si>
    <t>1 magenta  in piu?</t>
  </si>
  <si>
    <t>FINE CONTRATTO</t>
  </si>
  <si>
    <t>mai</t>
  </si>
  <si>
    <t>stampantinewnev@e-send.it</t>
  </si>
  <si>
    <t xml:space="preserve">TA 4006ci </t>
  </si>
  <si>
    <t>TA 2506 usata*</t>
  </si>
  <si>
    <t xml:space="preserve">5058i + DP-7150 + mobiletto (escluso toner): €     3.316,04   </t>
  </si>
  <si>
    <t>Toner</t>
  </si>
  <si>
    <t>H572111562</t>
  </si>
  <si>
    <t xml:space="preserve"> conguagli fatti</t>
  </si>
  <si>
    <t>TA B/N 5058</t>
  </si>
  <si>
    <t>VFL7508690</t>
  </si>
  <si>
    <t>ritirata a fine ottobre</t>
  </si>
  <si>
    <t>H572111587</t>
  </si>
  <si>
    <t>?</t>
  </si>
  <si>
    <t>ta3508-piazzalunga@e-send.it</t>
  </si>
  <si>
    <t>PESENTI TRASPORTI E LOGISTICA S.R.L.</t>
  </si>
  <si>
    <t>VFL8317753</t>
  </si>
  <si>
    <t>RGT1317898</t>
  </si>
  <si>
    <t>H572111536</t>
  </si>
  <si>
    <t>sn</t>
  </si>
  <si>
    <t>jobtain brescia</t>
  </si>
  <si>
    <t>VFL8720211</t>
  </si>
  <si>
    <t>piano superiore</t>
  </si>
  <si>
    <t>R899502232</t>
  </si>
  <si>
    <t>R899502231</t>
  </si>
  <si>
    <t>serie toner</t>
  </si>
  <si>
    <t>R9C1617986</t>
  </si>
  <si>
    <t>RGQ0Y06193</t>
  </si>
  <si>
    <t>VFL7913139</t>
  </si>
  <si>
    <t>RGT9402764</t>
  </si>
  <si>
    <t>H572821800</t>
  </si>
  <si>
    <t>H572111567</t>
  </si>
  <si>
    <t>paga SOLO CONGUAGLI x TUTTE LE COPIE FATTE * A FINE AGOSTO 22 X QUESTA A NOLEGGIO AVEVANO INSERITO TUTTI I TONER E 0 DI SCORTA *HANNO ANCHE 2507 DI PROPRIETà DI CUI PAGANO I TONER</t>
  </si>
  <si>
    <t>RGT0512106</t>
  </si>
  <si>
    <t>RGT9X06853</t>
  </si>
  <si>
    <t>R9C0Z13759</t>
  </si>
  <si>
    <t>RGT9X07014</t>
  </si>
  <si>
    <t>VFL7508644</t>
  </si>
  <si>
    <t>VFL7609079</t>
  </si>
  <si>
    <t>VFL8720189</t>
  </si>
  <si>
    <t>RGT1116980</t>
  </si>
  <si>
    <t>H572111539</t>
  </si>
  <si>
    <t>RGT0512157</t>
  </si>
  <si>
    <t>VFL7811819</t>
  </si>
  <si>
    <t>ta3508cipiazzalungasrl@e-send.it</t>
  </si>
  <si>
    <t>RGQ0704971</t>
  </si>
  <si>
    <t>RGT1117200</t>
  </si>
  <si>
    <t>TERZA</t>
  </si>
  <si>
    <t>T907</t>
  </si>
  <si>
    <t>RGT9503983</t>
  </si>
  <si>
    <t>VFL7508687</t>
  </si>
  <si>
    <t>H2H2101317</t>
  </si>
  <si>
    <t>VG67403609</t>
  </si>
  <si>
    <t>H571Z07998</t>
  </si>
  <si>
    <t>CHIUDO NOLEGGIO</t>
  </si>
  <si>
    <t>VQ18Y03640</t>
  </si>
  <si>
    <t>eliminare QUANDO ADDEBITATO CONGUAGLIO</t>
  </si>
  <si>
    <t>R899903428</t>
  </si>
  <si>
    <t>VFL8720210</t>
  </si>
  <si>
    <t>VFL7709773</t>
  </si>
  <si>
    <t>spedire/consegnare</t>
  </si>
  <si>
    <t>1 kit completo di scorta</t>
  </si>
  <si>
    <t>3058ci</t>
  </si>
  <si>
    <t>mese</t>
  </si>
  <si>
    <t>trim</t>
  </si>
  <si>
    <t>diff trim</t>
  </si>
  <si>
    <t>diff mese</t>
  </si>
  <si>
    <t>costo diff trim</t>
  </si>
  <si>
    <t>costo diff mese</t>
  </si>
  <si>
    <t>proposta domus 430 al mese</t>
  </si>
  <si>
    <t>AMMINISTRAZIONE</t>
  </si>
  <si>
    <t>COMMERCIALI</t>
  </si>
  <si>
    <t>MAGAZZINO 1P</t>
  </si>
  <si>
    <t>UFF. OPERATIVO</t>
  </si>
  <si>
    <t>VIA ZAMBELLI</t>
  </si>
  <si>
    <t>soliveri@e-send.it</t>
  </si>
  <si>
    <t>MEDEAT</t>
  </si>
  <si>
    <t>H572719519</t>
  </si>
  <si>
    <t>1382800465</t>
  </si>
  <si>
    <t>H572616573</t>
  </si>
  <si>
    <t>1 nero di scorta -tutti 100%</t>
  </si>
  <si>
    <t>tap5536imedeatsrl@e-send.it</t>
  </si>
  <si>
    <t>ta3508ciromas@e-send.it</t>
  </si>
  <si>
    <t>H572718833</t>
  </si>
  <si>
    <t>ROMAS</t>
  </si>
  <si>
    <t>F.LLI GELMINI SRL</t>
  </si>
  <si>
    <t>H572820660</t>
  </si>
  <si>
    <t>ta3508cigelmini@e-send.it</t>
  </si>
  <si>
    <t>&lt;Tue 04 Jul 2023 11:53:17&gt;
  cyan:                 12%
  magenta:              95%
  yellow:               76%
  black:                23%</t>
  </si>
  <si>
    <t>VERDELLINO EX GRUMELLO</t>
  </si>
  <si>
    <t>&lt;Sat 01 Jul 2023 00:00:02&gt;
  cyan:                 14%
  magenta:              23%
  yellow:               19%
  black:                52%</t>
  </si>
  <si>
    <t>&lt;Sat 01 Jul 2023 00:00:02&gt;
  cyan:                 58%
  magenta:              60%
  yellow:               58%
  black:                79%</t>
  </si>
  <si>
    <t>&lt;Fri 14 Jul 2023 18:00:01&gt;
  cyan:                 52%
  magenta:              60%
  yellow:               32%
  black:                84%</t>
  </si>
  <si>
    <t>? Kit Colore</t>
  </si>
  <si>
    <t>&lt;Sun 16 Jul 2023 00:00:01&gt;
  black:                6%</t>
  </si>
  <si>
    <t>1 nero da spedire</t>
  </si>
  <si>
    <t>&lt;Sun 16 Jul 2023 00:00:02&gt;
  black:                19%</t>
  </si>
  <si>
    <t>&lt;Sat 15 Jul 2023 01:00:03&gt;
  black:                26%</t>
  </si>
  <si>
    <t>? 1 nero</t>
  </si>
  <si>
    <t>&lt;Sat 01 Jul 2023 00:00:00&gt;
  cyan:                 20%
  magenta:              9%
  yellow:               14%
  black:                24%</t>
  </si>
  <si>
    <t>&lt;Mon 17 Jul 2023 07:00:00&gt;
  cyan:                 5%
  magenta:              10%
  yellow:               9%
  black:                33%</t>
  </si>
  <si>
    <t>&lt;Sun 16 Jul 2023 23:00:05&gt;
  cyan:                 69%
  magenta:              70%
  yellow:               65%
  black:                36%</t>
  </si>
  <si>
    <t>&lt;Tue 20 Jun 2023 11:29:06&gt;
  cyan:                 44%
  magenta:              45%
  yellow:               40%
  black:                100%</t>
  </si>
  <si>
    <t>1 nero senza fretta appena messo</t>
  </si>
  <si>
    <t>&lt;Sat 01 Jul 2023 00:00:01&gt;
  cyan:                 66%
  magenta:              47%
  yellow:               11%
  black:                34%</t>
  </si>
  <si>
    <t>&lt;Tue 20 Jun 2023 00:00:01&gt;
  cyan:                 97%
  magenta:              97%
  yellow:               97%
  black:                85%</t>
  </si>
  <si>
    <t>&lt;Mon 17 Jul 2023 06:04:00&gt;
  cyan:                 13%
  magenta:              11%
  yellow:               11%
  black:                5%</t>
  </si>
  <si>
    <t>&lt;Fri 07 Jul 2023 08:56:39&gt;
  cyan:                 5%
  magenta:              13%
  yellow:               5%
  black:                70%</t>
  </si>
  <si>
    <t>&lt;Wed 05 Jul 2023 11:21:29&gt;
  black:                99%</t>
  </si>
  <si>
    <t>&lt;Tue 11 Jul 2023 15:00:03&gt;
  cyan:                 60%
  magenta:              61%
  yellow:               48%
  black:                97%</t>
  </si>
  <si>
    <t>ta3508cifinazzi@e-send.it</t>
  </si>
  <si>
    <t>H572820618</t>
  </si>
  <si>
    <t>&lt;Wed 28 Jun 2023 14:15:02&gt;
  cyan:                 98%
  magenta:              97%
  yellow:               97%
  black:                98%</t>
  </si>
  <si>
    <t>&lt;Mon 17 Jul 2023 09:19:15&gt;
  cyan:                 91%
  magenta:              71%
  yellow:               77%
  black:                5%</t>
  </si>
  <si>
    <t>&lt;Mon 17 Jul 2023 07:00:01&gt;
  cyan:                 14%
  magenta:              24%
  yellow:               5%
  black:                13%</t>
  </si>
  <si>
    <t>&lt;Sat 01 Jul 2023 00:00:00&gt;
  cyan:                 26%
  magenta:              27%
  yellow:               32%
  black:                60%</t>
  </si>
  <si>
    <t>verifica fine settembre</t>
  </si>
  <si>
    <t>&lt;Tue 04 Jul 2023 08:12:08&gt;
  cyan:                 12%
  magenta:              99%
  yellow:               99%
  black:                47%</t>
  </si>
  <si>
    <t>utilizzo elevato</t>
  </si>
  <si>
    <t>verifica ogni mese</t>
  </si>
  <si>
    <t>ta2507cimedeat@e-send.it</t>
  </si>
  <si>
    <t>TA 2507 ci</t>
  </si>
  <si>
    <t>RGT9503977</t>
  </si>
  <si>
    <t>&lt;Tue 20 Jun 2023 00:00:04&gt;
  cyan:                 88%
  magenta:              87%
  yellow:               86%
  black:                25%</t>
  </si>
  <si>
    <t xml:space="preserve">spedire a dicembre 1 di scorta </t>
  </si>
  <si>
    <t>&lt;Mon 17 Jul 2023 09:47:15&gt;
  cyan:                 34%
  magenta:              24%
  yellow:               12%
  black:                5%</t>
  </si>
  <si>
    <t xml:space="preserve">1 nero senza fretta </t>
  </si>
  <si>
    <t>&lt;Mon 17 Jul 2023 07:00:01&gt;
  cyan:                 63%
  magenta:              57%
  yellow:               39%
  black:                61%</t>
  </si>
  <si>
    <t>&lt;Thu 06 Jul 2023 08:26:25&gt;
  cyan:                 47%
  magenta:              60%
  yellow:               46%
  black:                65%</t>
  </si>
  <si>
    <t>&lt;Sat 01 Jul 2023 00:00:02&gt;
  cyan:                 68%
  magenta:              64%
  yellow:               61%
  black:                99%</t>
  </si>
  <si>
    <t>&lt;Thu 06 Jul 2023 11:57:30&gt;
  cyan:                 81%
  magenta:              80%
  yellow:               80%
  black:                99%</t>
  </si>
  <si>
    <t>&lt;Tue 20 Jun 2023 00:00:01&gt;
  cyan:                 89%
  magenta:              86%
  yellow:               83%
  black:                69%</t>
  </si>
  <si>
    <t>&lt;Thu 20 Apr 2023 00:00:00&gt;
  cyan:                 72%
  magenta:              77%
  yellow:               66%
  black:                18%</t>
  </si>
  <si>
    <t>H572719503</t>
  </si>
  <si>
    <t>??</t>
  </si>
  <si>
    <t>&lt;Sat 01 Jul 2023 08:12:06&gt;
  cyan:                 44%
  magenta:              45%
  yellow:               31%
  black:                39%</t>
  </si>
  <si>
    <t>&lt;Sat 01 Jul 2023 00:00:03&gt;
  cyan:                 84%
  magenta:              83%
  yellow:               81%
  black:                77%</t>
  </si>
  <si>
    <t>ta3508cirealtime@e-send.it</t>
  </si>
  <si>
    <t>REAL-TIME</t>
  </si>
  <si>
    <t>H572719622</t>
  </si>
  <si>
    <t>&lt;Wed 28 Jun 2023 07:35:44&gt;
  cyan:                 98%
  magenta:              97%
  yellow:               98%
  black:                98%</t>
  </si>
  <si>
    <t>&lt;Tue 20 Jun 2023 00:00:02&gt;
  cyan:                 97%
  magenta:              96%
  yellow:               96%
  black:                89%</t>
  </si>
  <si>
    <t>&lt;Tue 11 Jul 2023 16:00:03&gt;
  cyan:                 57%
  magenta:              62%
  yellow:               75%
  black:                43%</t>
  </si>
  <si>
    <t>ta3508cismea@e-send.it</t>
  </si>
  <si>
    <t>&lt;Wed 12 Jul 2023 14:00:21&gt;
  cyan:                 32%
  magenta:              24%
  yellow:               21%
  black:                94%</t>
  </si>
  <si>
    <t>&lt;Tue 20 Jun 2023 16:42:55&gt;
  cyan:                 74%
  magenta:              75%
  yellow:               72%
  black:                61%</t>
  </si>
  <si>
    <t>&lt;Mon 17 Jul 2023 06:00:01&gt;
  cyan:                 47%
  magenta:              53%
  yellow:               43%
  black:                86%</t>
  </si>
  <si>
    <t xml:space="preserve"> PROLUNGHIAMO NOLEGGIO FINO A FINE TONER</t>
  </si>
  <si>
    <t>&lt;Mon 17 Jul 2023 07:00:04&gt;
  cyan:                 18%
  magenta:              15%
  yellow:               9%
  black:                11%</t>
  </si>
  <si>
    <t>&lt;Mon 17 Jul 2023 07:00:01&gt;
  cyan:                 95%
  magenta:              41%
  yellow:               5%
  black:                80%</t>
  </si>
  <si>
    <t>&lt;Sat 01 Jul 2023 00:00:02&gt;
  black:                6%</t>
  </si>
  <si>
    <t>1 nero</t>
  </si>
  <si>
    <t>&lt;Thu 13 Jul 2023 16:39:20&gt;
  black:                17%</t>
  </si>
  <si>
    <t>ta3508cimedeatsrl@e-send.it</t>
  </si>
  <si>
    <t>questo è il conguaglio 3508 per le copie nel periodo prima della sostituzione</t>
  </si>
  <si>
    <t>nuova che sostituisce la 3508</t>
  </si>
  <si>
    <t>contatori iniziali stampante usata</t>
  </si>
  <si>
    <t>Email</t>
  </si>
  <si>
    <t>Pagine nero</t>
  </si>
  <si>
    <t>Pagine colore</t>
  </si>
  <si>
    <t>Ciano</t>
  </si>
  <si>
    <t>Magenta</t>
  </si>
  <si>
    <t>Giallo</t>
  </si>
  <si>
    <t>Nero</t>
  </si>
  <si>
    <t>Seriale</t>
  </si>
  <si>
    <t>Data</t>
  </si>
  <si>
    <t>Riga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</si>
</sst>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* #,##0.00\ &quot;€&quot;_-;\-* #,##0.00\ &quot;€&quot;_-;_-* &quot;-&quot;??\ &quot;€&quot;_-;_-@_-"/>
    <numFmt numFmtId="164" formatCode="0.000"/>
  </numFmts>
  <fonts count="3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name val="Calibri"/>
      <family val="2"/>
      <scheme val="minor"/>
    </font>
    <font>
      <b/>
      <sz val="8"/>
      <color theme="5" tint="-0.249977111117893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rgb="FF7030A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Calibri"/>
      <family val="2"/>
      <scheme val="minor"/>
    </font>
    <font>
      <sz val="11"/>
      <color rgb="FFC00000"/>
      <name val="Calibri"/>
      <family val="2"/>
      <scheme val="minor"/>
    </font>
    <font>
      <b/>
      <sz val="11"/>
      <color rgb="FFC00000"/>
      <name val="Calibri"/>
      <family val="2"/>
      <scheme val="minor"/>
    </font>
    <font>
      <b/>
      <sz val="11"/>
      <name val="Calibri"/>
      <family val="2"/>
      <scheme val="minor"/>
    </font>
    <font>
      <b/>
      <sz val="8"/>
      <color theme="0" tint="-0.499984740745262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sz val="11"/>
      <color rgb="FF7030A0"/>
      <name val="Calibri"/>
      <family val="2"/>
      <scheme val="minor"/>
    </font>
    <font>
      <b/>
      <sz val="11"/>
      <color rgb="FF7030A0"/>
      <name val="Calibri"/>
      <family val="2"/>
      <scheme val="minor"/>
    </font>
    <font>
      <sz val="36"/>
      <color theme="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9"/>
      <color rgb="FF000000"/>
      <name val="Arial"/>
      <family val="2"/>
    </font>
    <font>
      <sz val="11"/>
      <name val="Calibri"/>
      <family val="2"/>
    </font>
    <font>
      <sz val="8"/>
      <name val="Calibri"/>
      <family val="2"/>
      <scheme val="minor"/>
    </font>
  </fonts>
  <fills count="2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2E2F2"/>
        <bgColor indexed="64"/>
      </patternFill>
    </fill>
    <fill>
      <patternFill patternType="solid">
        <fgColor rgb="FFCD9ED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C00000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0" fontId="29" fillId="0" borderId="0"/>
  </cellStyleXfs>
  <cellXfs count="288">
    <xf numFmtId="0" fontId="0" fillId="0" borderId="0" xfId="0"/>
    <xf numFmtId="44" fontId="0" fillId="0" borderId="0" xfId="1" applyFont="1"/>
    <xf numFmtId="0" fontId="0" fillId="0" borderId="0" xfId="0" applyAlignment="1">
      <alignment horizontal="center"/>
    </xf>
    <xf numFmtId="0" fontId="2" fillId="0" borderId="0" xfId="0" applyFont="1"/>
    <xf numFmtId="44" fontId="2" fillId="0" borderId="0" xfId="1" applyFont="1"/>
    <xf numFmtId="3" fontId="2" fillId="0" borderId="0" xfId="0" applyNumberFormat="1" applyFont="1"/>
    <xf numFmtId="17" fontId="2" fillId="0" borderId="0" xfId="0" applyNumberFormat="1" applyFont="1"/>
    <xf numFmtId="0" fontId="3" fillId="0" borderId="0" xfId="0" applyFont="1"/>
    <xf numFmtId="0" fontId="3" fillId="2" borderId="1" xfId="0" applyFont="1" applyFill="1" applyBorder="1" applyAlignment="1">
      <alignment horizontal="center" wrapText="1"/>
    </xf>
    <xf numFmtId="3" fontId="3" fillId="2" borderId="1" xfId="0" applyNumberFormat="1" applyFont="1" applyFill="1" applyBorder="1" applyAlignment="1">
      <alignment horizontal="center" wrapText="1"/>
    </xf>
    <xf numFmtId="14" fontId="2" fillId="0" borderId="0" xfId="0" applyNumberFormat="1" applyFont="1"/>
    <xf numFmtId="0" fontId="4" fillId="3" borderId="0" xfId="0" applyFont="1" applyFill="1" applyAlignment="1">
      <alignment horizontal="center" vertical="center" wrapText="1"/>
    </xf>
    <xf numFmtId="44" fontId="4" fillId="3" borderId="0" xfId="1" applyFont="1" applyFill="1" applyAlignment="1">
      <alignment horizontal="center" vertical="center" wrapText="1"/>
    </xf>
    <xf numFmtId="0" fontId="3" fillId="4" borderId="1" xfId="0" applyFont="1" applyFill="1" applyBorder="1" applyAlignment="1">
      <alignment horizontal="center" wrapText="1"/>
    </xf>
    <xf numFmtId="0" fontId="3" fillId="0" borderId="0" xfId="0" applyFont="1" applyAlignment="1">
      <alignment horizontal="center"/>
    </xf>
    <xf numFmtId="0" fontId="6" fillId="0" borderId="0" xfId="0" applyFont="1"/>
    <xf numFmtId="0" fontId="7" fillId="0" borderId="0" xfId="0" applyFont="1"/>
    <xf numFmtId="0" fontId="8" fillId="0" borderId="0" xfId="0" applyFont="1"/>
    <xf numFmtId="0" fontId="3" fillId="5" borderId="1" xfId="0" applyFont="1" applyFill="1" applyBorder="1" applyAlignment="1">
      <alignment horizontal="center" wrapText="1"/>
    </xf>
    <xf numFmtId="44" fontId="3" fillId="5" borderId="1" xfId="1" applyFont="1" applyFill="1" applyBorder="1" applyAlignment="1">
      <alignment horizontal="center" wrapText="1"/>
    </xf>
    <xf numFmtId="0" fontId="5" fillId="5" borderId="1" xfId="0" applyFont="1" applyFill="1" applyBorder="1" applyAlignment="1">
      <alignment horizontal="center" vertical="center" wrapText="1"/>
    </xf>
    <xf numFmtId="0" fontId="3" fillId="6" borderId="1" xfId="0" applyFont="1" applyFill="1" applyBorder="1" applyAlignment="1">
      <alignment horizontal="center" wrapText="1"/>
    </xf>
    <xf numFmtId="17" fontId="3" fillId="4" borderId="1" xfId="0" applyNumberFormat="1" applyFont="1" applyFill="1" applyBorder="1" applyAlignment="1">
      <alignment horizontal="center" wrapText="1"/>
    </xf>
    <xf numFmtId="17" fontId="0" fillId="0" borderId="0" xfId="0" applyNumberFormat="1"/>
    <xf numFmtId="0" fontId="3" fillId="7" borderId="1" xfId="0" applyFont="1" applyFill="1" applyBorder="1" applyAlignment="1">
      <alignment horizontal="center" wrapText="1"/>
    </xf>
    <xf numFmtId="0" fontId="3" fillId="8" borderId="1" xfId="0" applyFont="1" applyFill="1" applyBorder="1" applyAlignment="1">
      <alignment horizontal="center" wrapText="1"/>
    </xf>
    <xf numFmtId="0" fontId="3" fillId="9" borderId="1" xfId="0" applyFont="1" applyFill="1" applyBorder="1" applyAlignment="1">
      <alignment horizontal="center" wrapText="1"/>
    </xf>
    <xf numFmtId="0" fontId="10" fillId="10" borderId="1" xfId="0" applyFont="1" applyFill="1" applyBorder="1" applyAlignment="1">
      <alignment horizontal="center" wrapText="1"/>
    </xf>
    <xf numFmtId="1" fontId="2" fillId="11" borderId="0" xfId="0" applyNumberFormat="1" applyFont="1" applyFill="1"/>
    <xf numFmtId="0" fontId="3" fillId="13" borderId="1" xfId="0" applyFont="1" applyFill="1" applyBorder="1" applyAlignment="1">
      <alignment horizontal="center" wrapText="1"/>
    </xf>
    <xf numFmtId="0" fontId="0" fillId="14" borderId="0" xfId="0" applyFill="1"/>
    <xf numFmtId="0" fontId="3" fillId="15" borderId="1" xfId="0" applyFont="1" applyFill="1" applyBorder="1" applyAlignment="1">
      <alignment horizontal="center" wrapText="1"/>
    </xf>
    <xf numFmtId="1" fontId="9" fillId="12" borderId="0" xfId="0" applyNumberFormat="1" applyFont="1" applyFill="1"/>
    <xf numFmtId="0" fontId="9" fillId="12" borderId="0" xfId="0" applyFont="1" applyFill="1"/>
    <xf numFmtId="1" fontId="3" fillId="4" borderId="1" xfId="0" applyNumberFormat="1" applyFont="1" applyFill="1" applyBorder="1" applyAlignment="1">
      <alignment horizontal="center" wrapText="1"/>
    </xf>
    <xf numFmtId="44" fontId="0" fillId="0" borderId="0" xfId="0" applyNumberFormat="1"/>
    <xf numFmtId="44" fontId="3" fillId="0" borderId="0" xfId="0" applyNumberFormat="1" applyFont="1"/>
    <xf numFmtId="0" fontId="15" fillId="13" borderId="0" xfId="0" applyFont="1" applyFill="1"/>
    <xf numFmtId="17" fontId="0" fillId="13" borderId="0" xfId="0" applyNumberFormat="1" applyFill="1"/>
    <xf numFmtId="17" fontId="0" fillId="13" borderId="0" xfId="0" applyNumberFormat="1" applyFill="1" applyAlignment="1">
      <alignment horizontal="center"/>
    </xf>
    <xf numFmtId="17" fontId="12" fillId="0" borderId="0" xfId="0" applyNumberFormat="1" applyFont="1" applyAlignment="1">
      <alignment horizontal="center"/>
    </xf>
    <xf numFmtId="17" fontId="0" fillId="0" borderId="0" xfId="0" applyNumberFormat="1" applyAlignment="1">
      <alignment horizontal="center"/>
    </xf>
    <xf numFmtId="1" fontId="0" fillId="0" borderId="0" xfId="0" applyNumberFormat="1" applyAlignment="1">
      <alignment horizontal="center"/>
    </xf>
    <xf numFmtId="0" fontId="16" fillId="0" borderId="0" xfId="0" applyFont="1"/>
    <xf numFmtId="0" fontId="17" fillId="0" borderId="0" xfId="0" applyFont="1"/>
    <xf numFmtId="14" fontId="3" fillId="0" borderId="0" xfId="0" applyNumberFormat="1" applyFont="1"/>
    <xf numFmtId="0" fontId="3" fillId="14" borderId="0" xfId="0" applyFont="1" applyFill="1"/>
    <xf numFmtId="14" fontId="0" fillId="0" borderId="0" xfId="0" applyNumberFormat="1"/>
    <xf numFmtId="0" fontId="18" fillId="13" borderId="0" xfId="0" applyFont="1" applyFill="1"/>
    <xf numFmtId="17" fontId="3" fillId="13" borderId="0" xfId="0" applyNumberFormat="1" applyFont="1" applyFill="1" applyAlignment="1">
      <alignment horizontal="center"/>
    </xf>
    <xf numFmtId="17" fontId="3" fillId="13" borderId="0" xfId="0" applyNumberFormat="1" applyFont="1" applyFill="1"/>
    <xf numFmtId="1" fontId="3" fillId="0" borderId="0" xfId="0" applyNumberFormat="1" applyFont="1" applyAlignment="1">
      <alignment horizontal="center"/>
    </xf>
    <xf numFmtId="3" fontId="3" fillId="0" borderId="0" xfId="0" applyNumberFormat="1" applyFont="1"/>
    <xf numFmtId="0" fontId="3" fillId="2" borderId="0" xfId="0" applyFont="1" applyFill="1"/>
    <xf numFmtId="0" fontId="15" fillId="6" borderId="0" xfId="0" applyFont="1" applyFill="1"/>
    <xf numFmtId="17" fontId="0" fillId="6" borderId="0" xfId="0" applyNumberFormat="1" applyFill="1" applyAlignment="1">
      <alignment horizontal="center"/>
    </xf>
    <xf numFmtId="17" fontId="0" fillId="6" borderId="0" xfId="0" applyNumberFormat="1" applyFill="1"/>
    <xf numFmtId="1" fontId="0" fillId="6" borderId="0" xfId="0" applyNumberFormat="1" applyFill="1" applyAlignment="1">
      <alignment horizontal="center"/>
    </xf>
    <xf numFmtId="3" fontId="2" fillId="6" borderId="0" xfId="0" applyNumberFormat="1" applyFont="1" applyFill="1"/>
    <xf numFmtId="0" fontId="2" fillId="6" borderId="0" xfId="0" applyFont="1" applyFill="1"/>
    <xf numFmtId="14" fontId="2" fillId="6" borderId="0" xfId="0" applyNumberFormat="1" applyFont="1" applyFill="1"/>
    <xf numFmtId="14" fontId="3" fillId="6" borderId="0" xfId="0" applyNumberFormat="1" applyFont="1" applyFill="1"/>
    <xf numFmtId="0" fontId="3" fillId="6" borderId="0" xfId="0" applyFont="1" applyFill="1"/>
    <xf numFmtId="0" fontId="0" fillId="6" borderId="0" xfId="0" applyFill="1"/>
    <xf numFmtId="1" fontId="0" fillId="6" borderId="0" xfId="0" applyNumberFormat="1" applyFill="1"/>
    <xf numFmtId="1" fontId="11" fillId="6" borderId="0" xfId="0" applyNumberFormat="1" applyFont="1" applyFill="1"/>
    <xf numFmtId="44" fontId="11" fillId="6" borderId="0" xfId="1" applyFont="1" applyFill="1"/>
    <xf numFmtId="0" fontId="3" fillId="6" borderId="0" xfId="0" applyFont="1" applyFill="1" applyAlignment="1">
      <alignment horizontal="center"/>
    </xf>
    <xf numFmtId="0" fontId="0" fillId="6" borderId="0" xfId="0" applyFill="1" applyAlignment="1">
      <alignment horizontal="center"/>
    </xf>
    <xf numFmtId="0" fontId="19" fillId="16" borderId="0" xfId="0" applyFont="1" applyFill="1"/>
    <xf numFmtId="0" fontId="20" fillId="16" borderId="0" xfId="0" applyFont="1" applyFill="1"/>
    <xf numFmtId="0" fontId="21" fillId="16" borderId="0" xfId="0" applyFont="1" applyFill="1"/>
    <xf numFmtId="17" fontId="20" fillId="16" borderId="0" xfId="0" applyNumberFormat="1" applyFont="1" applyFill="1"/>
    <xf numFmtId="44" fontId="20" fillId="16" borderId="0" xfId="1" applyFont="1" applyFill="1"/>
    <xf numFmtId="0" fontId="21" fillId="16" borderId="0" xfId="0" applyFont="1" applyFill="1" applyAlignment="1">
      <alignment horizontal="center"/>
    </xf>
    <xf numFmtId="0" fontId="17" fillId="17" borderId="0" xfId="0" applyFont="1" applyFill="1"/>
    <xf numFmtId="17" fontId="0" fillId="0" borderId="1" xfId="0" applyNumberFormat="1" applyBorder="1" applyAlignment="1">
      <alignment horizontal="center"/>
    </xf>
    <xf numFmtId="0" fontId="0" fillId="17" borderId="1" xfId="0" applyFill="1" applyBorder="1"/>
    <xf numFmtId="17" fontId="3" fillId="2" borderId="0" xfId="0" applyNumberFormat="1" applyFont="1" applyFill="1"/>
    <xf numFmtId="14" fontId="3" fillId="4" borderId="1" xfId="0" applyNumberFormat="1" applyFont="1" applyFill="1" applyBorder="1" applyAlignment="1">
      <alignment horizontal="center" wrapText="1"/>
    </xf>
    <xf numFmtId="14" fontId="0" fillId="13" borderId="0" xfId="0" applyNumberFormat="1" applyFill="1" applyAlignment="1">
      <alignment horizontal="center"/>
    </xf>
    <xf numFmtId="14" fontId="12" fillId="0" borderId="0" xfId="0" applyNumberFormat="1" applyFont="1" applyAlignment="1">
      <alignment horizontal="center"/>
    </xf>
    <xf numFmtId="14" fontId="0" fillId="0" borderId="0" xfId="0" applyNumberFormat="1" applyAlignment="1">
      <alignment horizontal="center"/>
    </xf>
    <xf numFmtId="1" fontId="3" fillId="8" borderId="1" xfId="0" applyNumberFormat="1" applyFont="1" applyFill="1" applyBorder="1" applyAlignment="1">
      <alignment horizontal="center" wrapText="1"/>
    </xf>
    <xf numFmtId="44" fontId="3" fillId="8" borderId="1" xfId="1" applyFont="1" applyFill="1" applyBorder="1" applyAlignment="1">
      <alignment horizontal="center" wrapText="1"/>
    </xf>
    <xf numFmtId="1" fontId="0" fillId="11" borderId="0" xfId="0" applyNumberFormat="1" applyFill="1"/>
    <xf numFmtId="44" fontId="9" fillId="12" borderId="0" xfId="1" applyFont="1" applyFill="1"/>
    <xf numFmtId="0" fontId="3" fillId="0" borderId="3" xfId="0" applyFont="1" applyBorder="1"/>
    <xf numFmtId="0" fontId="0" fillId="0" borderId="2" xfId="0" applyBorder="1"/>
    <xf numFmtId="0" fontId="3" fillId="18" borderId="1" xfId="0" applyFont="1" applyFill="1" applyBorder="1" applyAlignment="1">
      <alignment horizontal="center" wrapText="1"/>
    </xf>
    <xf numFmtId="2" fontId="3" fillId="18" borderId="1" xfId="0" applyNumberFormat="1" applyFont="1" applyFill="1" applyBorder="1" applyAlignment="1">
      <alignment horizontal="center" wrapText="1"/>
    </xf>
    <xf numFmtId="2" fontId="0" fillId="0" borderId="0" xfId="0" applyNumberFormat="1"/>
    <xf numFmtId="0" fontId="3" fillId="17" borderId="1" xfId="0" applyFont="1" applyFill="1" applyBorder="1" applyAlignment="1">
      <alignment horizontal="center" wrapText="1"/>
    </xf>
    <xf numFmtId="0" fontId="0" fillId="17" borderId="1" xfId="0" applyFill="1" applyBorder="1" applyAlignment="1">
      <alignment horizontal="center" wrapText="1"/>
    </xf>
    <xf numFmtId="1" fontId="3" fillId="2" borderId="0" xfId="0" applyNumberFormat="1" applyFont="1" applyFill="1"/>
    <xf numFmtId="0" fontId="11" fillId="2" borderId="1" xfId="0" applyFont="1" applyFill="1" applyBorder="1" applyAlignment="1">
      <alignment horizontal="center" wrapText="1"/>
    </xf>
    <xf numFmtId="0" fontId="0" fillId="10" borderId="0" xfId="0" applyFill="1"/>
    <xf numFmtId="0" fontId="15" fillId="10" borderId="0" xfId="0" applyFont="1" applyFill="1"/>
    <xf numFmtId="2" fontId="0" fillId="14" borderId="0" xfId="0" applyNumberFormat="1" applyFill="1"/>
    <xf numFmtId="14" fontId="0" fillId="13" borderId="0" xfId="0" applyNumberFormat="1" applyFill="1"/>
    <xf numFmtId="1" fontId="0" fillId="13" borderId="0" xfId="0" applyNumberFormat="1" applyFill="1" applyAlignment="1">
      <alignment horizontal="center"/>
    </xf>
    <xf numFmtId="44" fontId="1" fillId="13" borderId="0" xfId="1" applyFont="1" applyFill="1"/>
    <xf numFmtId="3" fontId="0" fillId="13" borderId="0" xfId="0" applyNumberFormat="1" applyFill="1"/>
    <xf numFmtId="0" fontId="0" fillId="13" borderId="0" xfId="0" applyFill="1"/>
    <xf numFmtId="14" fontId="2" fillId="13" borderId="0" xfId="0" applyNumberFormat="1" applyFont="1" applyFill="1"/>
    <xf numFmtId="44" fontId="2" fillId="13" borderId="0" xfId="1" applyFont="1" applyFill="1"/>
    <xf numFmtId="3" fontId="2" fillId="13" borderId="0" xfId="0" applyNumberFormat="1" applyFont="1" applyFill="1"/>
    <xf numFmtId="0" fontId="2" fillId="13" borderId="0" xfId="0" applyFont="1" applyFill="1"/>
    <xf numFmtId="0" fontId="0" fillId="7" borderId="0" xfId="0" applyFill="1"/>
    <xf numFmtId="0" fontId="2" fillId="7" borderId="0" xfId="0" applyFont="1" applyFill="1"/>
    <xf numFmtId="0" fontId="3" fillId="19" borderId="5" xfId="0" applyFont="1" applyFill="1" applyBorder="1" applyAlignment="1">
      <alignment horizontal="center" wrapText="1"/>
    </xf>
    <xf numFmtId="0" fontId="17" fillId="6" borderId="5" xfId="0" applyFont="1" applyFill="1" applyBorder="1" applyAlignment="1">
      <alignment horizontal="center" wrapText="1"/>
    </xf>
    <xf numFmtId="14" fontId="2" fillId="0" borderId="4" xfId="0" applyNumberFormat="1" applyFont="1" applyBorder="1"/>
    <xf numFmtId="0" fontId="0" fillId="0" borderId="4" xfId="0" applyBorder="1"/>
    <xf numFmtId="0" fontId="17" fillId="16" borderId="4" xfId="0" applyFont="1" applyFill="1" applyBorder="1"/>
    <xf numFmtId="14" fontId="23" fillId="16" borderId="4" xfId="0" applyNumberFormat="1" applyFont="1" applyFill="1" applyBorder="1"/>
    <xf numFmtId="0" fontId="23" fillId="16" borderId="4" xfId="0" applyFont="1" applyFill="1" applyBorder="1"/>
    <xf numFmtId="14" fontId="23" fillId="0" borderId="4" xfId="0" applyNumberFormat="1" applyFont="1" applyBorder="1"/>
    <xf numFmtId="0" fontId="23" fillId="0" borderId="4" xfId="0" applyFont="1" applyBorder="1"/>
    <xf numFmtId="14" fontId="22" fillId="0" borderId="4" xfId="0" applyNumberFormat="1" applyFont="1" applyBorder="1"/>
    <xf numFmtId="0" fontId="22" fillId="16" borderId="4" xfId="0" applyFont="1" applyFill="1" applyBorder="1"/>
    <xf numFmtId="14" fontId="22" fillId="16" borderId="4" xfId="0" applyNumberFormat="1" applyFont="1" applyFill="1" applyBorder="1"/>
    <xf numFmtId="0" fontId="0" fillId="17" borderId="4" xfId="0" applyFill="1" applyBorder="1"/>
    <xf numFmtId="14" fontId="17" fillId="17" borderId="4" xfId="0" applyNumberFormat="1" applyFont="1" applyFill="1" applyBorder="1"/>
    <xf numFmtId="0" fontId="17" fillId="17" borderId="4" xfId="0" applyFont="1" applyFill="1" applyBorder="1"/>
    <xf numFmtId="0" fontId="0" fillId="2" borderId="0" xfId="0" applyFill="1"/>
    <xf numFmtId="2" fontId="10" fillId="20" borderId="0" xfId="0" applyNumberFormat="1" applyFont="1" applyFill="1"/>
    <xf numFmtId="0" fontId="2" fillId="14" borderId="0" xfId="0" applyFont="1" applyFill="1"/>
    <xf numFmtId="0" fontId="24" fillId="0" borderId="0" xfId="0" quotePrefix="1" applyFont="1"/>
    <xf numFmtId="14" fontId="23" fillId="12" borderId="7" xfId="0" applyNumberFormat="1" applyFont="1" applyFill="1" applyBorder="1"/>
    <xf numFmtId="14" fontId="23" fillId="12" borderId="8" xfId="0" applyNumberFormat="1" applyFont="1" applyFill="1" applyBorder="1"/>
    <xf numFmtId="0" fontId="3" fillId="0" borderId="9" xfId="0" applyFont="1" applyBorder="1" applyAlignment="1">
      <alignment horizontal="center"/>
    </xf>
    <xf numFmtId="0" fontId="3" fillId="0" borderId="10" xfId="0" applyFont="1" applyBorder="1" applyAlignment="1">
      <alignment horizontal="center"/>
    </xf>
    <xf numFmtId="0" fontId="3" fillId="0" borderId="11" xfId="0" applyFont="1" applyBorder="1" applyAlignment="1">
      <alignment horizontal="center"/>
    </xf>
    <xf numFmtId="0" fontId="3" fillId="0" borderId="12" xfId="0" applyFont="1" applyBorder="1" applyAlignment="1">
      <alignment horizontal="center"/>
    </xf>
    <xf numFmtId="0" fontId="3" fillId="0" borderId="13" xfId="0" applyFont="1" applyBorder="1" applyAlignment="1">
      <alignment horizontal="center"/>
    </xf>
    <xf numFmtId="14" fontId="3" fillId="2" borderId="14" xfId="0" applyNumberFormat="1" applyFont="1" applyFill="1" applyBorder="1"/>
    <xf numFmtId="0" fontId="3" fillId="2" borderId="15" xfId="0" applyFont="1" applyFill="1" applyBorder="1"/>
    <xf numFmtId="0" fontId="3" fillId="2" borderId="16" xfId="0" applyFont="1" applyFill="1" applyBorder="1"/>
    <xf numFmtId="14" fontId="23" fillId="16" borderId="19" xfId="0" applyNumberFormat="1" applyFont="1" applyFill="1" applyBorder="1"/>
    <xf numFmtId="14" fontId="23" fillId="0" borderId="20" xfId="0" applyNumberFormat="1" applyFont="1" applyBorder="1"/>
    <xf numFmtId="0" fontId="12" fillId="0" borderId="0" xfId="0" applyFont="1"/>
    <xf numFmtId="0" fontId="25" fillId="13" borderId="0" xfId="0" applyFont="1" applyFill="1"/>
    <xf numFmtId="14" fontId="12" fillId="13" borderId="0" xfId="0" applyNumberFormat="1" applyFont="1" applyFill="1" applyAlignment="1">
      <alignment horizontal="center"/>
    </xf>
    <xf numFmtId="17" fontId="12" fillId="13" borderId="0" xfId="0" applyNumberFormat="1" applyFont="1" applyFill="1"/>
    <xf numFmtId="14" fontId="12" fillId="13" borderId="0" xfId="0" applyNumberFormat="1" applyFont="1" applyFill="1"/>
    <xf numFmtId="1" fontId="12" fillId="13" borderId="0" xfId="0" applyNumberFormat="1" applyFont="1" applyFill="1" applyAlignment="1">
      <alignment horizontal="center"/>
    </xf>
    <xf numFmtId="44" fontId="12" fillId="13" borderId="0" xfId="1" applyFont="1" applyFill="1"/>
    <xf numFmtId="3" fontId="12" fillId="13" borderId="0" xfId="0" applyNumberFormat="1" applyFont="1" applyFill="1"/>
    <xf numFmtId="0" fontId="12" fillId="7" borderId="0" xfId="0" applyFont="1" applyFill="1"/>
    <xf numFmtId="0" fontId="12" fillId="13" borderId="0" xfId="0" applyFont="1" applyFill="1"/>
    <xf numFmtId="14" fontId="12" fillId="0" borderId="4" xfId="0" applyNumberFormat="1" applyFont="1" applyBorder="1"/>
    <xf numFmtId="0" fontId="12" fillId="16" borderId="4" xfId="0" applyFont="1" applyFill="1" applyBorder="1"/>
    <xf numFmtId="0" fontId="12" fillId="16" borderId="17" xfId="0" applyFont="1" applyFill="1" applyBorder="1"/>
    <xf numFmtId="14" fontId="25" fillId="12" borderId="6" xfId="0" applyNumberFormat="1" applyFont="1" applyFill="1" applyBorder="1"/>
    <xf numFmtId="0" fontId="25" fillId="16" borderId="18" xfId="0" applyFont="1" applyFill="1" applyBorder="1"/>
    <xf numFmtId="0" fontId="25" fillId="16" borderId="4" xfId="0" applyFont="1" applyFill="1" applyBorder="1"/>
    <xf numFmtId="2" fontId="12" fillId="14" borderId="0" xfId="0" applyNumberFormat="1" applyFont="1" applyFill="1"/>
    <xf numFmtId="0" fontId="12" fillId="14" borderId="0" xfId="0" applyFont="1" applyFill="1"/>
    <xf numFmtId="1" fontId="12" fillId="11" borderId="0" xfId="0" applyNumberFormat="1" applyFont="1" applyFill="1"/>
    <xf numFmtId="1" fontId="12" fillId="12" borderId="0" xfId="0" applyNumberFormat="1" applyFont="1" applyFill="1"/>
    <xf numFmtId="1" fontId="25" fillId="2" borderId="0" xfId="0" applyNumberFormat="1" applyFont="1" applyFill="1"/>
    <xf numFmtId="44" fontId="12" fillId="12" borderId="0" xfId="1" applyFont="1" applyFill="1"/>
    <xf numFmtId="2" fontId="12" fillId="0" borderId="0" xfId="0" applyNumberFormat="1" applyFont="1"/>
    <xf numFmtId="0" fontId="18" fillId="2" borderId="0" xfId="0" applyFont="1" applyFill="1"/>
    <xf numFmtId="0" fontId="0" fillId="21" borderId="0" xfId="0" applyFill="1"/>
    <xf numFmtId="0" fontId="26" fillId="21" borderId="0" xfId="0" applyFont="1" applyFill="1"/>
    <xf numFmtId="0" fontId="17" fillId="21" borderId="4" xfId="0" applyFont="1" applyFill="1" applyBorder="1"/>
    <xf numFmtId="17" fontId="0" fillId="21" borderId="0" xfId="0" applyNumberFormat="1" applyFill="1"/>
    <xf numFmtId="0" fontId="23" fillId="21" borderId="4" xfId="0" applyFont="1" applyFill="1" applyBorder="1"/>
    <xf numFmtId="14" fontId="15" fillId="13" borderId="0" xfId="0" applyNumberFormat="1" applyFont="1" applyFill="1"/>
    <xf numFmtId="0" fontId="0" fillId="18" borderId="0" xfId="0" applyFill="1" applyAlignment="1">
      <alignment horizontal="center"/>
    </xf>
    <xf numFmtId="17" fontId="0" fillId="13" borderId="0" xfId="0" applyNumberFormat="1" applyFill="1" applyAlignment="1">
      <alignment horizontal="right"/>
    </xf>
    <xf numFmtId="0" fontId="3" fillId="7" borderId="0" xfId="0" applyFont="1" applyFill="1"/>
    <xf numFmtId="0" fontId="3" fillId="13" borderId="0" xfId="0" applyFont="1" applyFill="1"/>
    <xf numFmtId="3" fontId="3" fillId="13" borderId="0" xfId="0" applyNumberFormat="1" applyFont="1" applyFill="1"/>
    <xf numFmtId="0" fontId="18" fillId="16" borderId="0" xfId="0" applyFont="1" applyFill="1"/>
    <xf numFmtId="0" fontId="0" fillId="21" borderId="0" xfId="0" applyFill="1" applyAlignment="1">
      <alignment horizontal="center"/>
    </xf>
    <xf numFmtId="44" fontId="3" fillId="13" borderId="0" xfId="1" applyFont="1" applyFill="1"/>
    <xf numFmtId="0" fontId="11" fillId="0" borderId="0" xfId="0" applyFont="1"/>
    <xf numFmtId="14" fontId="15" fillId="0" borderId="0" xfId="0" applyNumberFormat="1" applyFont="1"/>
    <xf numFmtId="44" fontId="0" fillId="13" borderId="0" xfId="1" applyFont="1" applyFill="1" applyAlignment="1">
      <alignment horizontal="center"/>
    </xf>
    <xf numFmtId="44" fontId="0" fillId="0" borderId="0" xfId="1" applyFont="1" applyAlignment="1">
      <alignment horizontal="center"/>
    </xf>
    <xf numFmtId="164" fontId="0" fillId="13" borderId="0" xfId="0" applyNumberFormat="1" applyFill="1" applyAlignment="1">
      <alignment horizontal="center"/>
    </xf>
    <xf numFmtId="164" fontId="0" fillId="0" borderId="0" xfId="0" applyNumberFormat="1" applyAlignment="1">
      <alignment horizontal="center"/>
    </xf>
    <xf numFmtId="0" fontId="3" fillId="22" borderId="0" xfId="0" applyFont="1" applyFill="1"/>
    <xf numFmtId="0" fontId="2" fillId="22" borderId="0" xfId="0" applyFont="1" applyFill="1"/>
    <xf numFmtId="14" fontId="18" fillId="0" borderId="0" xfId="0" applyNumberFormat="1" applyFont="1"/>
    <xf numFmtId="14" fontId="18" fillId="22" borderId="0" xfId="0" applyNumberFormat="1" applyFont="1" applyFill="1"/>
    <xf numFmtId="0" fontId="28" fillId="0" borderId="0" xfId="0" applyFont="1" applyAlignment="1">
      <alignment vertical="center"/>
    </xf>
    <xf numFmtId="14" fontId="18" fillId="16" borderId="4" xfId="0" applyNumberFormat="1" applyFont="1" applyFill="1" applyBorder="1"/>
    <xf numFmtId="14" fontId="9" fillId="13" borderId="0" xfId="0" applyNumberFormat="1" applyFont="1" applyFill="1"/>
    <xf numFmtId="17" fontId="0" fillId="2" borderId="0" xfId="0" applyNumberFormat="1" applyFill="1"/>
    <xf numFmtId="14" fontId="23" fillId="15" borderId="4" xfId="0" applyNumberFormat="1" applyFont="1" applyFill="1" applyBorder="1"/>
    <xf numFmtId="17" fontId="0" fillId="15" borderId="0" xfId="0" applyNumberFormat="1" applyFill="1"/>
    <xf numFmtId="14" fontId="9" fillId="2" borderId="0" xfId="0" applyNumberFormat="1" applyFont="1" applyFill="1"/>
    <xf numFmtId="44" fontId="0" fillId="15" borderId="0" xfId="0" applyNumberFormat="1" applyFill="1"/>
    <xf numFmtId="44" fontId="3" fillId="0" borderId="0" xfId="1" applyFont="1"/>
    <xf numFmtId="0" fontId="23" fillId="16" borderId="0" xfId="0" applyFont="1" applyFill="1"/>
    <xf numFmtId="14" fontId="0" fillId="2" borderId="0" xfId="0" applyNumberFormat="1" applyFill="1" applyAlignment="1">
      <alignment horizontal="center"/>
    </xf>
    <xf numFmtId="0" fontId="0" fillId="23" borderId="0" xfId="0" applyFill="1"/>
    <xf numFmtId="0" fontId="3" fillId="23" borderId="0" xfId="0" applyFont="1" applyFill="1"/>
    <xf numFmtId="17" fontId="0" fillId="23" borderId="0" xfId="0" applyNumberFormat="1" applyFill="1"/>
    <xf numFmtId="14" fontId="0" fillId="23" borderId="0" xfId="0" applyNumberFormat="1" applyFill="1" applyAlignment="1">
      <alignment horizontal="center"/>
    </xf>
    <xf numFmtId="44" fontId="0" fillId="23" borderId="0" xfId="1" applyFont="1" applyFill="1" applyAlignment="1">
      <alignment horizontal="center"/>
    </xf>
    <xf numFmtId="164" fontId="0" fillId="23" borderId="0" xfId="0" applyNumberFormat="1" applyFill="1" applyAlignment="1">
      <alignment horizontal="center"/>
    </xf>
    <xf numFmtId="14" fontId="0" fillId="23" borderId="0" xfId="0" applyNumberFormat="1" applyFill="1"/>
    <xf numFmtId="1" fontId="0" fillId="23" borderId="0" xfId="0" applyNumberFormat="1" applyFill="1" applyAlignment="1">
      <alignment horizontal="center"/>
    </xf>
    <xf numFmtId="44" fontId="2" fillId="23" borderId="0" xfId="1" applyFont="1" applyFill="1"/>
    <xf numFmtId="3" fontId="2" fillId="23" borderId="0" xfId="0" applyNumberFormat="1" applyFont="1" applyFill="1"/>
    <xf numFmtId="0" fontId="2" fillId="23" borderId="0" xfId="0" applyFont="1" applyFill="1"/>
    <xf numFmtId="14" fontId="18" fillId="23" borderId="4" xfId="0" applyNumberFormat="1" applyFont="1" applyFill="1" applyBorder="1"/>
    <xf numFmtId="0" fontId="0" fillId="23" borderId="0" xfId="0" applyFill="1" applyAlignment="1">
      <alignment horizontal="center"/>
    </xf>
    <xf numFmtId="44" fontId="0" fillId="23" borderId="0" xfId="0" applyNumberFormat="1" applyFill="1"/>
    <xf numFmtId="0" fontId="18" fillId="0" borderId="0" xfId="0" applyFont="1"/>
    <xf numFmtId="0" fontId="3" fillId="18" borderId="0" xfId="0" applyFont="1" applyFill="1" applyAlignment="1">
      <alignment horizontal="center"/>
    </xf>
    <xf numFmtId="14" fontId="15" fillId="23" borderId="0" xfId="0" applyNumberFormat="1" applyFont="1" applyFill="1"/>
    <xf numFmtId="17" fontId="3" fillId="4" borderId="1" xfId="0" applyNumberFormat="1" applyFont="1" applyFill="1" applyBorder="1" applyAlignment="1">
      <alignment horizontal="center" vertical="center" wrapText="1"/>
    </xf>
    <xf numFmtId="17" fontId="0" fillId="13" borderId="0" xfId="0" applyNumberFormat="1" applyFill="1" applyAlignment="1">
      <alignment horizontal="center" vertical="center"/>
    </xf>
    <xf numFmtId="17" fontId="0" fillId="21" borderId="0" xfId="0" applyNumberFormat="1" applyFill="1" applyAlignment="1">
      <alignment horizontal="center" vertical="center"/>
    </xf>
    <xf numFmtId="17" fontId="0" fillId="23" borderId="0" xfId="0" applyNumberFormat="1" applyFill="1" applyAlignment="1">
      <alignment horizontal="center" vertical="center"/>
    </xf>
    <xf numFmtId="17" fontId="0" fillId="0" borderId="0" xfId="0" applyNumberFormat="1" applyAlignment="1">
      <alignment horizontal="center" vertical="center"/>
    </xf>
    <xf numFmtId="0" fontId="3" fillId="0" borderId="3" xfId="0" applyFont="1" applyBorder="1" applyAlignment="1">
      <alignment vertical="center"/>
    </xf>
    <xf numFmtId="0" fontId="27" fillId="8" borderId="2" xfId="0" applyFont="1" applyFill="1" applyBorder="1" applyAlignment="1">
      <alignment horizontal="left" vertical="center"/>
    </xf>
    <xf numFmtId="14" fontId="3" fillId="8" borderId="1" xfId="0" applyNumberFormat="1" applyFont="1" applyFill="1" applyBorder="1" applyAlignment="1">
      <alignment horizontal="center" vertical="center" wrapText="1"/>
    </xf>
    <xf numFmtId="44" fontId="3" fillId="8" borderId="1" xfId="1" applyFont="1" applyFill="1" applyBorder="1" applyAlignment="1">
      <alignment horizontal="center" vertical="center" wrapText="1"/>
    </xf>
    <xf numFmtId="164" fontId="3" fillId="8" borderId="1" xfId="0" applyNumberFormat="1" applyFont="1" applyFill="1" applyBorder="1" applyAlignment="1">
      <alignment horizontal="center" vertical="center" wrapText="1"/>
    </xf>
    <xf numFmtId="1" fontId="3" fillId="8" borderId="1" xfId="0" applyNumberFormat="1" applyFont="1" applyFill="1" applyBorder="1" applyAlignment="1">
      <alignment horizontal="center" vertical="center" wrapText="1"/>
    </xf>
    <xf numFmtId="0" fontId="3" fillId="8" borderId="1" xfId="0" applyFont="1" applyFill="1" applyBorder="1" applyAlignment="1">
      <alignment horizontal="center" vertical="center" wrapText="1"/>
    </xf>
    <xf numFmtId="3" fontId="3" fillId="2" borderId="1" xfId="0" applyNumberFormat="1" applyFont="1" applyFill="1" applyBorder="1" applyAlignment="1">
      <alignment horizontal="center" vertical="center" wrapText="1"/>
    </xf>
    <xf numFmtId="0" fontId="3" fillId="2" borderId="1" xfId="0" applyFont="1" applyFill="1" applyBorder="1" applyAlignment="1">
      <alignment horizontal="center" vertical="center" wrapText="1"/>
    </xf>
    <xf numFmtId="0" fontId="3" fillId="17" borderId="1" xfId="0" applyFont="1" applyFill="1" applyBorder="1" applyAlignment="1">
      <alignment horizontal="center" vertical="center" wrapText="1"/>
    </xf>
    <xf numFmtId="0" fontId="0" fillId="17" borderId="1" xfId="0" applyFill="1" applyBorder="1" applyAlignment="1">
      <alignment horizontal="center" vertical="center" wrapText="1"/>
    </xf>
    <xf numFmtId="0" fontId="3" fillId="19" borderId="5" xfId="0" applyFont="1" applyFill="1" applyBorder="1" applyAlignment="1">
      <alignment horizontal="center" vertical="center" wrapText="1"/>
    </xf>
    <xf numFmtId="0" fontId="17" fillId="6" borderId="5" xfId="0" applyFont="1" applyFill="1" applyBorder="1" applyAlignment="1">
      <alignment horizontal="center" vertical="center" wrapText="1"/>
    </xf>
    <xf numFmtId="0" fontId="3" fillId="15" borderId="1" xfId="0" applyFont="1" applyFill="1" applyBorder="1" applyAlignment="1">
      <alignment horizontal="center" vertical="center" wrapText="1"/>
    </xf>
    <xf numFmtId="0" fontId="3" fillId="9" borderId="1" xfId="0" applyFont="1" applyFill="1" applyBorder="1" applyAlignment="1">
      <alignment horizontal="center" vertical="center" wrapText="1"/>
    </xf>
    <xf numFmtId="0" fontId="10" fillId="10" borderId="1" xfId="0" applyFont="1" applyFill="1" applyBorder="1" applyAlignment="1">
      <alignment horizontal="center" vertical="center" wrapText="1"/>
    </xf>
    <xf numFmtId="0" fontId="11" fillId="2" borderId="1" xfId="0" applyFont="1" applyFill="1" applyBorder="1" applyAlignment="1">
      <alignment horizontal="center" vertical="center" wrapText="1"/>
    </xf>
    <xf numFmtId="2" fontId="3" fillId="18" borderId="1" xfId="0" applyNumberFormat="1" applyFont="1" applyFill="1" applyBorder="1" applyAlignment="1">
      <alignment horizontal="center" vertical="center" wrapText="1"/>
    </xf>
    <xf numFmtId="0" fontId="3" fillId="18" borderId="1" xfId="0" applyFont="1" applyFill="1" applyBorder="1" applyAlignment="1">
      <alignment horizontal="center" vertical="center" wrapText="1"/>
    </xf>
    <xf numFmtId="14" fontId="18" fillId="18" borderId="2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/>
    </xf>
    <xf numFmtId="2" fontId="0" fillId="15" borderId="0" xfId="0" applyNumberFormat="1" applyFill="1"/>
    <xf numFmtId="0" fontId="18" fillId="16" borderId="4" xfId="0" applyFont="1" applyFill="1" applyBorder="1"/>
    <xf numFmtId="0" fontId="18" fillId="21" borderId="4" xfId="0" applyFont="1" applyFill="1" applyBorder="1"/>
    <xf numFmtId="0" fontId="23" fillId="0" borderId="0" xfId="0" applyFont="1"/>
    <xf numFmtId="0" fontId="23" fillId="15" borderId="0" xfId="0" applyFont="1" applyFill="1"/>
    <xf numFmtId="0" fontId="18" fillId="23" borderId="4" xfId="0" applyFont="1" applyFill="1" applyBorder="1"/>
    <xf numFmtId="17" fontId="0" fillId="12" borderId="0" xfId="0" applyNumberFormat="1" applyFill="1"/>
    <xf numFmtId="0" fontId="3" fillId="7" borderId="0" xfId="0" applyFont="1" applyFill="1" applyAlignment="1">
      <alignment horizontal="center"/>
    </xf>
    <xf numFmtId="0" fontId="3" fillId="24" borderId="0" xfId="0" applyFont="1" applyFill="1"/>
    <xf numFmtId="14" fontId="23" fillId="2" borderId="4" xfId="0" applyNumberFormat="1" applyFont="1" applyFill="1" applyBorder="1"/>
    <xf numFmtId="0" fontId="3" fillId="2" borderId="1" xfId="0" applyFont="1" applyFill="1" applyBorder="1" applyAlignment="1">
      <alignment vertical="center"/>
    </xf>
    <xf numFmtId="0" fontId="0" fillId="0" borderId="22" xfId="0" applyBorder="1"/>
    <xf numFmtId="0" fontId="0" fillId="0" borderId="23" xfId="0" applyBorder="1"/>
    <xf numFmtId="0" fontId="0" fillId="2" borderId="23" xfId="0" applyFill="1" applyBorder="1"/>
    <xf numFmtId="0" fontId="0" fillId="0" borderId="24" xfId="0" applyBorder="1"/>
    <xf numFmtId="0" fontId="0" fillId="0" borderId="25" xfId="0" applyBorder="1"/>
    <xf numFmtId="0" fontId="0" fillId="0" borderId="26" xfId="0" applyBorder="1"/>
    <xf numFmtId="0" fontId="0" fillId="0" borderId="27" xfId="0" applyBorder="1"/>
    <xf numFmtId="0" fontId="0" fillId="0" borderId="3" xfId="0" applyBorder="1"/>
    <xf numFmtId="0" fontId="3" fillId="0" borderId="25" xfId="0" applyFont="1" applyBorder="1"/>
    <xf numFmtId="0" fontId="3" fillId="17" borderId="0" xfId="0" applyFont="1" applyFill="1" applyAlignment="1">
      <alignment horizontal="center"/>
    </xf>
    <xf numFmtId="14" fontId="18" fillId="2" borderId="4" xfId="0" applyNumberFormat="1" applyFont="1" applyFill="1" applyBorder="1"/>
    <xf numFmtId="17" fontId="3" fillId="0" borderId="0" xfId="0" applyNumberFormat="1" applyFont="1" applyAlignment="1">
      <alignment horizontal="left" vertical="center"/>
    </xf>
    <xf numFmtId="0" fontId="23" fillId="2" borderId="0" xfId="0" applyFont="1" applyFill="1"/>
    <xf numFmtId="3" fontId="1" fillId="13" borderId="0" xfId="0" applyNumberFormat="1" applyFont="1" applyFill="1"/>
    <xf numFmtId="0" fontId="1" fillId="7" borderId="0" xfId="0" applyFont="1" applyFill="1"/>
    <xf numFmtId="0" fontId="0" fillId="0" borderId="0" xfId="0" quotePrefix="1"/>
    <xf numFmtId="17" fontId="0" fillId="2" borderId="0" xfId="0" applyNumberFormat="1" applyFill="1" applyAlignment="1">
      <alignment horizontal="center" vertical="center"/>
    </xf>
    <xf numFmtId="44" fontId="3" fillId="2" borderId="0" xfId="1" applyFont="1" applyFill="1"/>
    <xf numFmtId="3" fontId="3" fillId="2" borderId="0" xfId="0" applyNumberFormat="1" applyFont="1" applyFill="1"/>
    <xf numFmtId="14" fontId="1" fillId="13" borderId="0" xfId="0" applyNumberFormat="1" applyFont="1" applyFill="1"/>
    <xf numFmtId="14" fontId="18" fillId="7" borderId="0" xfId="0" applyNumberFormat="1" applyFont="1" applyFill="1"/>
    <xf numFmtId="0" fontId="1" fillId="22" borderId="0" xfId="0" applyFont="1" applyFill="1"/>
    <xf numFmtId="0" fontId="1" fillId="13" borderId="0" xfId="0" applyFont="1" applyFill="1"/>
    <xf numFmtId="44" fontId="0" fillId="2" borderId="0" xfId="1" applyFont="1" applyFill="1" applyAlignment="1">
      <alignment horizontal="center"/>
    </xf>
    <xf numFmtId="164" fontId="0" fillId="2" borderId="0" xfId="0" applyNumberFormat="1" applyFill="1" applyAlignment="1">
      <alignment horizontal="center"/>
    </xf>
    <xf numFmtId="14" fontId="0" fillId="2" borderId="0" xfId="0" applyNumberFormat="1" applyFill="1"/>
    <xf numFmtId="3" fontId="1" fillId="0" borderId="0" xfId="0" applyNumberFormat="1" applyFont="1"/>
    <xf numFmtId="0" fontId="1" fillId="0" borderId="0" xfId="0" applyFont="1"/>
    <xf numFmtId="2" fontId="3" fillId="25" borderId="0" xfId="0" applyNumberFormat="1" applyFont="1" applyFill="1"/>
    <xf numFmtId="1" fontId="0" fillId="2" borderId="0" xfId="0" applyNumberFormat="1" applyFill="1" applyAlignment="1">
      <alignment horizontal="center"/>
    </xf>
    <xf numFmtId="44" fontId="11" fillId="12" borderId="0" xfId="1" applyFont="1" applyFill="1"/>
    <xf numFmtId="0" fontId="3" fillId="10" borderId="0" xfId="0" applyFont="1" applyFill="1"/>
    <xf numFmtId="22" fontId="0" fillId="0" borderId="0" xfId="0" applyNumberFormat="1"/>
    <xf numFmtId="17" fontId="0" fillId="0" borderId="0" xfId="0" applyNumberFormat="1" applyAlignment="1">
      <alignment horizontal="center" wrapText="1"/>
    </xf>
  </cellXfs>
  <cellStyles count="3">
    <cellStyle name="Normale" xfId="0" builtinId="0"/>
    <cellStyle name="Normale 2" xfId="2" xr:uid="{00000000-0005-0000-0000-000002000000}"/>
    <cellStyle name="Valuta" xfId="1" builtinId="4"/>
  </cellStyles>
  <dxfs count="18">
    <dxf>
      <font>
        <color rgb="FFFF9999"/>
      </font>
    </dxf>
    <dxf>
      <font>
        <color rgb="FFFF9999"/>
      </font>
    </dxf>
    <dxf>
      <font>
        <color rgb="FFFF9999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rgb="FFFF9999"/>
      </font>
    </dxf>
    <dxf>
      <font>
        <color rgb="FFFF9999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rgb="FFFF9999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rgb="FFFF9999"/>
      </font>
    </dxf>
  </dxfs>
  <tableStyles count="0" defaultTableStyle="TableStyleMedium2" defaultPivotStyle="PivotStyleLight16"/>
  <colors>
    <mruColors>
      <color rgb="FFCD9ED6"/>
      <color rgb="FFFFCCCC"/>
      <color rgb="FFFF9999"/>
      <color rgb="FFCCECFF"/>
      <color rgb="FFF2E2F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ustomXml" Target="../customXml/item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oglio1"/>
  <dimension ref="A1:AU66"/>
  <sheetViews>
    <sheetView topLeftCell="A18" zoomScale="85" zoomScaleNormal="85" workbookViewId="0">
      <selection activeCell="B27" sqref="B27"/>
    </sheetView>
  </sheetViews>
  <sheetFormatPr defaultRowHeight="15" outlineLevelCol="1" x14ac:dyDescent="0.25"/>
  <cols>
    <col min="1" max="1" width="5.85546875" customWidth="1"/>
    <col min="2" max="2" width="35.28515625" customWidth="1"/>
    <col min="3" max="3" width="21.28515625" customWidth="1"/>
    <col min="4" max="4" width="16.28515625" style="23" customWidth="1"/>
    <col min="5" max="5" width="7.140625" style="221" customWidth="1" outlineLevel="1"/>
    <col min="6" max="6" width="12.28515625" style="23" customWidth="1" outlineLevel="1"/>
    <col min="7" max="7" width="16.7109375" style="23" customWidth="1" outlineLevel="1"/>
    <col min="8" max="8" width="12.85546875" style="82" customWidth="1"/>
    <col min="9" max="9" width="12.7109375" style="182" hidden="1" customWidth="1"/>
    <col min="10" max="10" width="12.7109375" style="184" hidden="1" customWidth="1"/>
    <col min="11" max="11" width="15.5703125" style="47" customWidth="1" outlineLevel="1"/>
    <col min="12" max="12" width="7" style="42" customWidth="1" outlineLevel="1"/>
    <col min="13" max="13" width="11.7109375" customWidth="1" outlineLevel="1"/>
    <col min="14" max="14" width="10.7109375" customWidth="1" outlineLevel="1"/>
    <col min="15" max="15" width="9.28515625" style="5" customWidth="1" outlineLevel="1" collapsed="1"/>
    <col min="16" max="16" width="8.28515625" style="3" customWidth="1" outlineLevel="1"/>
    <col min="17" max="17" width="7.5703125" style="3" customWidth="1" outlineLevel="1"/>
    <col min="18" max="18" width="8" customWidth="1" outlineLevel="1"/>
    <col min="19" max="19" width="11.85546875" style="3" customWidth="1" outlineLevel="1"/>
    <col min="20" max="20" width="8.140625" style="3" customWidth="1" outlineLevel="1"/>
    <col min="21" max="21" width="8.7109375" style="3" customWidth="1" outlineLevel="1"/>
    <col min="22" max="22" width="12.140625" style="3" customWidth="1"/>
    <col min="23" max="24" width="9.28515625" style="3" bestFit="1" customWidth="1"/>
    <col min="25" max="25" width="11.5703125" style="3" customWidth="1"/>
    <col min="26" max="26" width="9.42578125" style="3" customWidth="1" outlineLevel="1"/>
    <col min="27" max="27" width="9" style="3" customWidth="1" outlineLevel="1"/>
    <col min="28" max="28" width="8.42578125" style="3" customWidth="1" outlineLevel="1"/>
    <col min="29" max="29" width="9.140625" customWidth="1" outlineLevel="1"/>
    <col min="30" max="30" width="9" customWidth="1" outlineLevel="1"/>
    <col min="31" max="31" width="8.5703125" customWidth="1" outlineLevel="1"/>
    <col min="32" max="32" width="9.5703125" style="7" customWidth="1" outlineLevel="1"/>
    <col min="33" max="33" width="8.140625" style="7" customWidth="1" outlineLevel="1"/>
    <col min="34" max="35" width="13.140625" customWidth="1"/>
    <col min="36" max="36" width="12" style="91" customWidth="1" outlineLevel="1"/>
    <col min="37" max="37" width="12.5703125" style="91" customWidth="1" outlineLevel="1"/>
    <col min="38" max="39" width="9.140625" customWidth="1" outlineLevel="1"/>
    <col min="40" max="40" width="9.140625" style="2" customWidth="1" outlineLevel="1"/>
    <col min="41" max="41" width="10.140625" style="2" customWidth="1" outlineLevel="1"/>
    <col min="42" max="42" width="10.85546875" style="2" customWidth="1" outlineLevel="1"/>
    <col min="43" max="43" width="10.85546875" style="180" customWidth="1"/>
    <col min="44" max="44" width="37.28515625" customWidth="1"/>
    <col min="45" max="45" width="24.5703125" customWidth="1"/>
    <col min="46" max="46" width="11.7109375" customWidth="1"/>
  </cols>
  <sheetData>
    <row r="1" spans="1:46" s="242" customFormat="1" ht="114" customHeight="1" x14ac:dyDescent="0.25">
      <c r="A1" s="222"/>
      <c r="B1" s="217" t="s">
        <v>150</v>
      </c>
      <c r="C1" s="223">
        <f>COUNTA(C2:C56)</f>
        <v>55</v>
      </c>
      <c r="D1" s="217" t="s">
        <v>17</v>
      </c>
      <c r="E1" s="217" t="s">
        <v>138</v>
      </c>
      <c r="F1" s="217" t="s">
        <v>226</v>
      </c>
      <c r="G1" s="217" t="s">
        <v>115</v>
      </c>
      <c r="H1" s="224" t="s">
        <v>18</v>
      </c>
      <c r="I1" s="225" t="s">
        <v>191</v>
      </c>
      <c r="J1" s="226" t="s">
        <v>192</v>
      </c>
      <c r="K1" s="224" t="s">
        <v>19</v>
      </c>
      <c r="L1" s="227" t="s">
        <v>70</v>
      </c>
      <c r="M1" s="228" t="s">
        <v>1</v>
      </c>
      <c r="N1" s="225" t="s">
        <v>2</v>
      </c>
      <c r="O1" s="229" t="s">
        <v>59</v>
      </c>
      <c r="P1" s="230" t="s">
        <v>60</v>
      </c>
      <c r="Q1" s="231" t="s">
        <v>58</v>
      </c>
      <c r="R1" s="232" t="s">
        <v>108</v>
      </c>
      <c r="S1" s="233" t="s">
        <v>21</v>
      </c>
      <c r="T1" s="233" t="s">
        <v>55</v>
      </c>
      <c r="U1" s="233" t="s">
        <v>56</v>
      </c>
      <c r="V1" s="234" t="s">
        <v>117</v>
      </c>
      <c r="W1" s="234" t="s">
        <v>52</v>
      </c>
      <c r="X1" s="234" t="s">
        <v>46</v>
      </c>
      <c r="Y1" s="235" t="s">
        <v>95</v>
      </c>
      <c r="Z1" s="235" t="s">
        <v>67</v>
      </c>
      <c r="AA1" s="235" t="s">
        <v>66</v>
      </c>
      <c r="AB1" s="236" t="s">
        <v>62</v>
      </c>
      <c r="AC1" s="236" t="s">
        <v>63</v>
      </c>
      <c r="AD1" s="237" t="s">
        <v>64</v>
      </c>
      <c r="AE1" s="237" t="s">
        <v>65</v>
      </c>
      <c r="AF1" s="238" t="s">
        <v>98</v>
      </c>
      <c r="AG1" s="238" t="s">
        <v>99</v>
      </c>
      <c r="AH1" s="237" t="s">
        <v>97</v>
      </c>
      <c r="AI1" s="237" t="s">
        <v>96</v>
      </c>
      <c r="AJ1" s="239" t="s">
        <v>110</v>
      </c>
      <c r="AK1" s="239" t="s">
        <v>113</v>
      </c>
      <c r="AL1" s="240" t="s">
        <v>111</v>
      </c>
      <c r="AM1" s="240" t="s">
        <v>112</v>
      </c>
      <c r="AN1" s="240" t="s">
        <v>232</v>
      </c>
      <c r="AO1" s="240" t="s">
        <v>139</v>
      </c>
      <c r="AP1" s="240" t="s">
        <v>140</v>
      </c>
      <c r="AQ1" s="241" t="s">
        <v>149</v>
      </c>
      <c r="AR1" s="240" t="s">
        <v>179</v>
      </c>
      <c r="AS1" s="253" t="s">
        <v>267</v>
      </c>
    </row>
    <row r="2" spans="1:46" x14ac:dyDescent="0.25">
      <c r="B2" s="176" t="s">
        <v>152</v>
      </c>
      <c r="C2" s="174" t="s">
        <v>50</v>
      </c>
      <c r="D2" s="38" t="s">
        <v>13</v>
      </c>
      <c r="E2" s="218"/>
      <c r="F2" s="38" t="s">
        <v>223</v>
      </c>
      <c r="G2" s="38"/>
      <c r="H2" s="80">
        <v>43734</v>
      </c>
      <c r="I2" s="181">
        <f t="shared" ref="I2:I11" si="0">IF(M2="",N2/L2,M2)</f>
        <v>66.666666666666671</v>
      </c>
      <c r="J2" s="183">
        <f t="shared" ref="J2:J11" si="1">I2/(O2/L2)</f>
        <v>6.6666666666666666E-2</v>
      </c>
      <c r="K2" s="99">
        <v>45564</v>
      </c>
      <c r="L2" s="100">
        <v>3</v>
      </c>
      <c r="M2" s="101"/>
      <c r="N2" s="101">
        <v>200</v>
      </c>
      <c r="O2" s="102">
        <v>3000</v>
      </c>
      <c r="P2" s="108">
        <v>0.01</v>
      </c>
      <c r="Q2" s="103">
        <v>300</v>
      </c>
      <c r="R2" s="108">
        <v>0.08</v>
      </c>
      <c r="S2" s="190">
        <v>44927</v>
      </c>
      <c r="T2" s="244">
        <v>166291</v>
      </c>
      <c r="U2" s="244">
        <v>23568</v>
      </c>
      <c r="V2" s="115">
        <v>45096.382291666669</v>
      </c>
      <c r="W2" s="246">
        <v>185833</v>
      </c>
      <c r="X2" s="246">
        <v>32448</v>
      </c>
      <c r="Y2" s="126">
        <f t="shared" ref="Y2:Y56" si="2">(V2-S2)/30.42</f>
        <v>5.56812267148812</v>
      </c>
      <c r="Z2" s="30">
        <f t="shared" ref="Z2:AA33" si="3">W2-T2</f>
        <v>19542</v>
      </c>
      <c r="AA2" s="30">
        <f t="shared" si="3"/>
        <v>8880</v>
      </c>
      <c r="AB2" s="85">
        <f t="shared" ref="AB2:AB56" si="4">Z2/Y2</f>
        <v>3509.6209535874436</v>
      </c>
      <c r="AC2" s="85">
        <f t="shared" ref="AC2:AC56" si="5">AA2/Y2</f>
        <v>1594.7924505094923</v>
      </c>
      <c r="AD2" s="32">
        <f t="shared" ref="AD2:AD56" si="6">AB2-O2/L2</f>
        <v>2509.6209535874436</v>
      </c>
      <c r="AE2" s="32">
        <f t="shared" ref="AE2:AE56" si="7">AC2-Q2/L2</f>
        <v>1494.7924505094923</v>
      </c>
      <c r="AF2" s="94">
        <f t="shared" ref="AF2:AF56" si="8">AD2*Y2</f>
        <v>13973.87732851188</v>
      </c>
      <c r="AG2" s="94">
        <f t="shared" ref="AG2:AG56" si="9">AE2*Y2</f>
        <v>8323.1877328511873</v>
      </c>
      <c r="AH2" s="86">
        <f t="shared" ref="AH2:AH56" si="10">AF2*P2</f>
        <v>139.73877328511881</v>
      </c>
      <c r="AI2" s="86">
        <f t="shared" ref="AI2:AI56" si="11">AG2*R2</f>
        <v>665.85501862809497</v>
      </c>
      <c r="AJ2" s="91">
        <f t="shared" ref="AJ2:AK12" si="12">W2/AL2</f>
        <v>9.2916500000000006</v>
      </c>
      <c r="AK2" s="91">
        <f t="shared" si="12"/>
        <v>2.7040000000000002</v>
      </c>
      <c r="AL2" s="173">
        <v>20000</v>
      </c>
      <c r="AM2" s="173">
        <v>12000</v>
      </c>
      <c r="AN2" s="250">
        <v>8511</v>
      </c>
      <c r="AO2" s="215">
        <v>10</v>
      </c>
      <c r="AP2" s="215">
        <v>5</v>
      </c>
      <c r="AQ2" s="188">
        <v>45124</v>
      </c>
      <c r="AR2" s="7" t="s">
        <v>295</v>
      </c>
      <c r="AS2">
        <v>0</v>
      </c>
      <c r="AT2" s="35"/>
    </row>
    <row r="3" spans="1:46" x14ac:dyDescent="0.25">
      <c r="B3" s="214" t="s">
        <v>184</v>
      </c>
      <c r="C3" s="174" t="s">
        <v>199</v>
      </c>
      <c r="D3" s="38" t="s">
        <v>124</v>
      </c>
      <c r="E3" s="218"/>
      <c r="F3" s="38" t="s">
        <v>224</v>
      </c>
      <c r="G3" s="38" t="s">
        <v>296</v>
      </c>
      <c r="H3" s="80">
        <v>44482</v>
      </c>
      <c r="I3" s="181">
        <f t="shared" si="0"/>
        <v>100</v>
      </c>
      <c r="J3" s="183">
        <f t="shared" si="1"/>
        <v>0.06</v>
      </c>
      <c r="K3" s="99">
        <v>45943</v>
      </c>
      <c r="L3" s="100">
        <v>3</v>
      </c>
      <c r="M3" s="101"/>
      <c r="N3" s="178">
        <v>300</v>
      </c>
      <c r="O3" s="175">
        <v>5000</v>
      </c>
      <c r="P3" s="108">
        <v>0.01</v>
      </c>
      <c r="Q3" s="174">
        <v>500</v>
      </c>
      <c r="R3" s="108">
        <v>0.08</v>
      </c>
      <c r="S3" s="190">
        <v>44930</v>
      </c>
      <c r="T3" s="244">
        <v>9677</v>
      </c>
      <c r="U3" s="244">
        <v>10829</v>
      </c>
      <c r="V3" s="115">
        <v>45078.002002314817</v>
      </c>
      <c r="W3" s="246">
        <v>13037</v>
      </c>
      <c r="X3" s="246">
        <v>16790</v>
      </c>
      <c r="Y3" s="126">
        <f t="shared" si="2"/>
        <v>4.8652860721504672</v>
      </c>
      <c r="Z3" s="30">
        <f t="shared" si="3"/>
        <v>3360</v>
      </c>
      <c r="AA3" s="30">
        <f t="shared" si="3"/>
        <v>5961</v>
      </c>
      <c r="AB3" s="85">
        <f t="shared" si="4"/>
        <v>690.60687288936185</v>
      </c>
      <c r="AC3" s="85">
        <f t="shared" si="5"/>
        <v>1225.2105860992517</v>
      </c>
      <c r="AD3" s="32">
        <f t="shared" si="6"/>
        <v>-976.05979377730489</v>
      </c>
      <c r="AE3" s="32">
        <f t="shared" si="7"/>
        <v>1058.543919432585</v>
      </c>
      <c r="AF3" s="94">
        <f t="shared" si="8"/>
        <v>-4748.8101202507787</v>
      </c>
      <c r="AG3" s="94">
        <f t="shared" si="9"/>
        <v>5150.1189879749218</v>
      </c>
      <c r="AH3" s="86">
        <f t="shared" si="10"/>
        <v>-47.488101202507785</v>
      </c>
      <c r="AI3" s="86">
        <f t="shared" si="11"/>
        <v>412.00951903799375</v>
      </c>
      <c r="AJ3" s="91">
        <f t="shared" si="12"/>
        <v>0.65185000000000004</v>
      </c>
      <c r="AK3" s="91">
        <f t="shared" si="12"/>
        <v>1.3991666666666667</v>
      </c>
      <c r="AL3" s="173">
        <v>20000</v>
      </c>
      <c r="AM3" s="173">
        <v>12000</v>
      </c>
      <c r="AN3" s="250">
        <v>8511</v>
      </c>
      <c r="AO3" s="215">
        <v>2</v>
      </c>
      <c r="AP3" s="215">
        <v>1</v>
      </c>
      <c r="AQ3" s="188">
        <v>45124</v>
      </c>
      <c r="AR3" s="7" t="s">
        <v>297</v>
      </c>
      <c r="AS3" s="53" t="s">
        <v>268</v>
      </c>
      <c r="AT3" s="35"/>
    </row>
    <row r="4" spans="1:46" x14ac:dyDescent="0.25">
      <c r="B4" s="7" t="s">
        <v>205</v>
      </c>
      <c r="C4" s="174" t="s">
        <v>199</v>
      </c>
      <c r="D4" s="38" t="s">
        <v>194</v>
      </c>
      <c r="E4" s="218"/>
      <c r="F4" s="38" t="s">
        <v>225</v>
      </c>
      <c r="G4" s="38" t="s">
        <v>227</v>
      </c>
      <c r="H4" s="80">
        <v>44733</v>
      </c>
      <c r="I4" s="181">
        <f t="shared" si="0"/>
        <v>130</v>
      </c>
      <c r="J4" s="183">
        <f t="shared" si="1"/>
        <v>7.8E-2</v>
      </c>
      <c r="K4" s="99">
        <v>46194</v>
      </c>
      <c r="L4" s="100">
        <v>3</v>
      </c>
      <c r="M4" s="101"/>
      <c r="N4" s="101">
        <v>390</v>
      </c>
      <c r="O4" s="267">
        <v>5000</v>
      </c>
      <c r="P4" s="268">
        <v>0.01</v>
      </c>
      <c r="Q4" s="103">
        <v>500</v>
      </c>
      <c r="R4" s="108">
        <v>0.08</v>
      </c>
      <c r="S4" s="190">
        <v>44935</v>
      </c>
      <c r="T4" s="244">
        <v>4803</v>
      </c>
      <c r="U4" s="244">
        <v>4918</v>
      </c>
      <c r="V4" s="115">
        <v>45078.001851851855</v>
      </c>
      <c r="W4" s="246">
        <v>15803</v>
      </c>
      <c r="X4" s="246">
        <v>12172</v>
      </c>
      <c r="Y4" s="126">
        <f t="shared" si="2"/>
        <v>4.7009155769840714</v>
      </c>
      <c r="Z4" s="30">
        <f t="shared" si="3"/>
        <v>11000</v>
      </c>
      <c r="AA4" s="30">
        <f t="shared" si="3"/>
        <v>7254</v>
      </c>
      <c r="AB4" s="85">
        <f t="shared" si="4"/>
        <v>2339.9696973620576</v>
      </c>
      <c r="AC4" s="85">
        <f t="shared" si="5"/>
        <v>1543.1036531513059</v>
      </c>
      <c r="AD4" s="32">
        <f t="shared" si="6"/>
        <v>673.30303069539082</v>
      </c>
      <c r="AE4" s="32">
        <f t="shared" si="7"/>
        <v>1376.4369864846392</v>
      </c>
      <c r="AF4" s="94">
        <f t="shared" si="8"/>
        <v>3165.140705026547</v>
      </c>
      <c r="AG4" s="94">
        <f t="shared" si="9"/>
        <v>6470.5140705026542</v>
      </c>
      <c r="AH4" s="86">
        <f t="shared" si="10"/>
        <v>31.651407050265473</v>
      </c>
      <c r="AI4" s="86">
        <f t="shared" si="11"/>
        <v>517.64112564021229</v>
      </c>
      <c r="AJ4" s="91">
        <f t="shared" si="12"/>
        <v>0.79015000000000002</v>
      </c>
      <c r="AK4" s="91">
        <f t="shared" si="12"/>
        <v>1.0143333333333333</v>
      </c>
      <c r="AL4" s="173">
        <v>20000</v>
      </c>
      <c r="AM4" s="173">
        <v>12000</v>
      </c>
      <c r="AN4" s="250">
        <v>8531</v>
      </c>
      <c r="AO4" s="215">
        <v>3</v>
      </c>
      <c r="AP4" s="215">
        <v>1</v>
      </c>
      <c r="AQ4" s="188">
        <v>45124</v>
      </c>
      <c r="AR4" s="7" t="s">
        <v>298</v>
      </c>
      <c r="AS4">
        <v>0</v>
      </c>
      <c r="AT4" s="35"/>
    </row>
    <row r="5" spans="1:46" x14ac:dyDescent="0.25">
      <c r="B5" s="214" t="s">
        <v>154</v>
      </c>
      <c r="C5" s="174" t="s">
        <v>222</v>
      </c>
      <c r="D5" s="38" t="s">
        <v>13</v>
      </c>
      <c r="E5" s="218"/>
      <c r="F5" s="38" t="s">
        <v>228</v>
      </c>
      <c r="G5" s="38" t="s">
        <v>229</v>
      </c>
      <c r="H5" s="80">
        <v>43474</v>
      </c>
      <c r="I5" s="181">
        <f t="shared" si="0"/>
        <v>90</v>
      </c>
      <c r="J5" s="183">
        <f t="shared" si="1"/>
        <v>4.4999999999999998E-2</v>
      </c>
      <c r="K5" s="99">
        <v>45300</v>
      </c>
      <c r="L5" s="100">
        <v>1</v>
      </c>
      <c r="M5" s="101">
        <v>90</v>
      </c>
      <c r="N5" s="101">
        <v>0</v>
      </c>
      <c r="O5" s="175">
        <v>2000</v>
      </c>
      <c r="P5" s="108">
        <v>0.01</v>
      </c>
      <c r="Q5" s="174">
        <v>300</v>
      </c>
      <c r="R5" s="108">
        <v>0.08</v>
      </c>
      <c r="S5" s="190">
        <v>44932</v>
      </c>
      <c r="T5" s="244">
        <v>102382</v>
      </c>
      <c r="U5" s="244">
        <v>23797</v>
      </c>
      <c r="V5" s="115">
        <v>45093.751574074071</v>
      </c>
      <c r="W5" s="246">
        <v>105699</v>
      </c>
      <c r="X5" s="246">
        <v>24379</v>
      </c>
      <c r="Y5" s="126">
        <f t="shared" si="2"/>
        <v>5.3172772542429634</v>
      </c>
      <c r="Z5" s="30">
        <f t="shared" si="3"/>
        <v>3317</v>
      </c>
      <c r="AA5" s="30">
        <f t="shared" si="3"/>
        <v>582</v>
      </c>
      <c r="AB5" s="85">
        <f t="shared" si="4"/>
        <v>623.81550583114199</v>
      </c>
      <c r="AC5" s="85">
        <f t="shared" si="5"/>
        <v>109.45451443886785</v>
      </c>
      <c r="AD5" s="32">
        <f t="shared" si="6"/>
        <v>-1376.184494168858</v>
      </c>
      <c r="AE5" s="32">
        <f t="shared" si="7"/>
        <v>-190.54548556113215</v>
      </c>
      <c r="AF5" s="94">
        <f t="shared" si="8"/>
        <v>-7317.5545084859268</v>
      </c>
      <c r="AG5" s="94">
        <f t="shared" si="9"/>
        <v>-1013.183176272889</v>
      </c>
      <c r="AH5" s="86">
        <f t="shared" si="10"/>
        <v>-73.175545084859266</v>
      </c>
      <c r="AI5" s="86">
        <f t="shared" si="11"/>
        <v>-81.054654101831119</v>
      </c>
      <c r="AJ5" s="91">
        <f t="shared" si="12"/>
        <v>5.2849500000000003</v>
      </c>
      <c r="AK5" s="91">
        <f t="shared" si="12"/>
        <v>2.0315833333333333</v>
      </c>
      <c r="AL5" s="173">
        <v>20000</v>
      </c>
      <c r="AM5" s="173">
        <v>12000</v>
      </c>
      <c r="AN5" s="250">
        <v>8511</v>
      </c>
      <c r="AO5" s="215">
        <v>9</v>
      </c>
      <c r="AP5" s="215">
        <v>3</v>
      </c>
      <c r="AQ5" s="188">
        <v>45124</v>
      </c>
      <c r="AR5" s="7" t="s">
        <v>299</v>
      </c>
      <c r="AS5" s="7" t="s">
        <v>300</v>
      </c>
      <c r="AT5" s="35"/>
    </row>
    <row r="6" spans="1:46" x14ac:dyDescent="0.25">
      <c r="B6" s="214" t="s">
        <v>155</v>
      </c>
      <c r="C6" s="174" t="s">
        <v>222</v>
      </c>
      <c r="D6" s="38" t="s">
        <v>118</v>
      </c>
      <c r="E6" s="219" t="s">
        <v>138</v>
      </c>
      <c r="F6" s="38" t="s">
        <v>230</v>
      </c>
      <c r="G6" s="38" t="s">
        <v>120</v>
      </c>
      <c r="H6" s="80">
        <v>43648</v>
      </c>
      <c r="I6" s="181">
        <f t="shared" si="0"/>
        <v>90</v>
      </c>
      <c r="J6" s="183">
        <f t="shared" si="1"/>
        <v>1.7999999999999999E-2</v>
      </c>
      <c r="K6" s="99">
        <v>45474</v>
      </c>
      <c r="L6" s="100">
        <v>1</v>
      </c>
      <c r="M6" s="101">
        <v>90</v>
      </c>
      <c r="N6" s="101"/>
      <c r="O6" s="102">
        <v>5000</v>
      </c>
      <c r="P6" s="108">
        <v>0.01</v>
      </c>
      <c r="Q6" s="165"/>
      <c r="R6" s="165"/>
      <c r="S6" s="190">
        <v>44927</v>
      </c>
      <c r="T6" s="244">
        <v>233707</v>
      </c>
      <c r="U6" s="245"/>
      <c r="V6" s="115">
        <v>45095.00167824074</v>
      </c>
      <c r="W6" s="246">
        <v>251767</v>
      </c>
      <c r="X6" s="169"/>
      <c r="Y6" s="126">
        <f t="shared" si="2"/>
        <v>5.5227376147514837</v>
      </c>
      <c r="Z6" s="30">
        <f t="shared" si="3"/>
        <v>18060</v>
      </c>
      <c r="AA6" s="30">
        <f t="shared" si="3"/>
        <v>0</v>
      </c>
      <c r="AB6" s="85">
        <f t="shared" si="4"/>
        <v>3270.1173330706347</v>
      </c>
      <c r="AC6" s="85">
        <f t="shared" si="5"/>
        <v>0</v>
      </c>
      <c r="AD6" s="32">
        <f t="shared" si="6"/>
        <v>-1729.8826669293653</v>
      </c>
      <c r="AE6" s="32">
        <f t="shared" si="7"/>
        <v>0</v>
      </c>
      <c r="AF6" s="94">
        <f t="shared" si="8"/>
        <v>-9553.6880737574193</v>
      </c>
      <c r="AG6" s="94">
        <f t="shared" si="9"/>
        <v>0</v>
      </c>
      <c r="AH6" s="86">
        <f t="shared" si="10"/>
        <v>-95.536880737574194</v>
      </c>
      <c r="AI6" s="86">
        <f t="shared" si="11"/>
        <v>0</v>
      </c>
      <c r="AJ6" s="91">
        <f t="shared" si="12"/>
        <v>7.1933428571428575</v>
      </c>
      <c r="AK6" s="167"/>
      <c r="AL6" s="173">
        <v>35000</v>
      </c>
      <c r="AM6" s="251"/>
      <c r="AN6" s="250">
        <v>7513</v>
      </c>
      <c r="AO6" s="215">
        <v>5</v>
      </c>
      <c r="AP6" s="167"/>
      <c r="AQ6" s="188">
        <v>45124</v>
      </c>
      <c r="AR6" s="7" t="s">
        <v>301</v>
      </c>
      <c r="AS6" s="53" t="s">
        <v>302</v>
      </c>
      <c r="AT6" s="35"/>
    </row>
    <row r="7" spans="1:46" x14ac:dyDescent="0.25">
      <c r="B7" s="214" t="s">
        <v>156</v>
      </c>
      <c r="C7" s="174" t="s">
        <v>222</v>
      </c>
      <c r="D7" s="38" t="s">
        <v>118</v>
      </c>
      <c r="E7" s="219" t="s">
        <v>138</v>
      </c>
      <c r="F7" s="38" t="s">
        <v>231</v>
      </c>
      <c r="G7" s="38" t="s">
        <v>121</v>
      </c>
      <c r="H7" s="80">
        <v>43648</v>
      </c>
      <c r="I7" s="181">
        <f t="shared" si="0"/>
        <v>90</v>
      </c>
      <c r="J7" s="183">
        <f t="shared" si="1"/>
        <v>1.7999999999999999E-2</v>
      </c>
      <c r="K7" s="99">
        <v>45474</v>
      </c>
      <c r="L7" s="100">
        <v>1</v>
      </c>
      <c r="M7" s="101">
        <v>90</v>
      </c>
      <c r="N7" s="101"/>
      <c r="O7" s="102">
        <v>5000</v>
      </c>
      <c r="P7" s="108">
        <v>0.01</v>
      </c>
      <c r="Q7" s="165"/>
      <c r="R7" s="165"/>
      <c r="S7" s="190">
        <v>44927</v>
      </c>
      <c r="T7" s="244">
        <v>99415</v>
      </c>
      <c r="U7" s="245"/>
      <c r="V7" s="115">
        <v>45095.001701388886</v>
      </c>
      <c r="W7" s="246">
        <v>106324</v>
      </c>
      <c r="X7" s="169"/>
      <c r="Y7" s="126">
        <f t="shared" si="2"/>
        <v>5.5227383757030379</v>
      </c>
      <c r="Z7" s="30">
        <f t="shared" si="3"/>
        <v>6909</v>
      </c>
      <c r="AA7" s="30">
        <f t="shared" si="3"/>
        <v>0</v>
      </c>
      <c r="AB7" s="85">
        <f t="shared" si="4"/>
        <v>1251.0098306296272</v>
      </c>
      <c r="AC7" s="85">
        <f t="shared" si="5"/>
        <v>0</v>
      </c>
      <c r="AD7" s="32">
        <f t="shared" si="6"/>
        <v>-3748.9901693703728</v>
      </c>
      <c r="AE7" s="32">
        <f t="shared" si="7"/>
        <v>0</v>
      </c>
      <c r="AF7" s="94">
        <f t="shared" si="8"/>
        <v>-20704.69187851519</v>
      </c>
      <c r="AG7" s="94">
        <f t="shared" si="9"/>
        <v>0</v>
      </c>
      <c r="AH7" s="86">
        <f t="shared" si="10"/>
        <v>-207.04691878515192</v>
      </c>
      <c r="AI7" s="86">
        <f t="shared" si="11"/>
        <v>0</v>
      </c>
      <c r="AJ7" s="91">
        <f t="shared" si="12"/>
        <v>3.0378285714285713</v>
      </c>
      <c r="AK7" s="167"/>
      <c r="AL7" s="173">
        <v>35000</v>
      </c>
      <c r="AM7" s="251"/>
      <c r="AN7" s="250">
        <v>7513</v>
      </c>
      <c r="AO7" s="215">
        <v>3</v>
      </c>
      <c r="AP7" s="167"/>
      <c r="AQ7" s="188">
        <v>45124</v>
      </c>
      <c r="AR7" s="7" t="s">
        <v>303</v>
      </c>
      <c r="AS7" s="53" t="s">
        <v>302</v>
      </c>
      <c r="AT7" s="35"/>
    </row>
    <row r="8" spans="1:46" x14ac:dyDescent="0.25">
      <c r="B8" s="214" t="s">
        <v>153</v>
      </c>
      <c r="C8" s="174" t="s">
        <v>222</v>
      </c>
      <c r="D8" s="38" t="s">
        <v>125</v>
      </c>
      <c r="E8" s="219" t="s">
        <v>138</v>
      </c>
      <c r="F8" s="38" t="s">
        <v>233</v>
      </c>
      <c r="G8" s="38" t="s">
        <v>187</v>
      </c>
      <c r="H8" s="80">
        <v>44484</v>
      </c>
      <c r="I8" s="181">
        <f t="shared" si="0"/>
        <v>49</v>
      </c>
      <c r="J8" s="183">
        <f t="shared" si="1"/>
        <v>2.4500000000000001E-2</v>
      </c>
      <c r="K8" s="99">
        <v>45580</v>
      </c>
      <c r="L8" s="100">
        <v>1</v>
      </c>
      <c r="M8" s="101">
        <v>49</v>
      </c>
      <c r="N8" s="101"/>
      <c r="O8" s="102">
        <v>2000</v>
      </c>
      <c r="P8" s="108">
        <v>0.01</v>
      </c>
      <c r="Q8" s="165"/>
      <c r="R8" s="165"/>
      <c r="S8" s="190">
        <v>44933</v>
      </c>
      <c r="T8" s="244">
        <v>19451</v>
      </c>
      <c r="U8" s="245"/>
      <c r="V8" s="115">
        <v>45094.042627314811</v>
      </c>
      <c r="W8" s="246">
        <v>26514</v>
      </c>
      <c r="X8" s="169"/>
      <c r="Y8" s="126">
        <f t="shared" si="2"/>
        <v>5.2939719695861731</v>
      </c>
      <c r="Z8" s="30">
        <f t="shared" si="3"/>
        <v>7063</v>
      </c>
      <c r="AA8" s="30">
        <f t="shared" si="3"/>
        <v>0</v>
      </c>
      <c r="AB8" s="85">
        <f t="shared" si="4"/>
        <v>1334.1589340814191</v>
      </c>
      <c r="AC8" s="85">
        <f t="shared" si="5"/>
        <v>0</v>
      </c>
      <c r="AD8" s="32">
        <f t="shared" si="6"/>
        <v>-665.84106591858085</v>
      </c>
      <c r="AE8" s="32">
        <f t="shared" si="7"/>
        <v>0</v>
      </c>
      <c r="AF8" s="94">
        <f t="shared" si="8"/>
        <v>-3524.9439391723463</v>
      </c>
      <c r="AG8" s="94">
        <f t="shared" si="9"/>
        <v>0</v>
      </c>
      <c r="AH8" s="86">
        <f t="shared" si="10"/>
        <v>-35.249439391723463</v>
      </c>
      <c r="AI8" s="86">
        <f t="shared" si="11"/>
        <v>0</v>
      </c>
      <c r="AJ8" s="91">
        <f t="shared" si="12"/>
        <v>0.88380000000000003</v>
      </c>
      <c r="AK8" s="167"/>
      <c r="AL8" s="173">
        <v>30000</v>
      </c>
      <c r="AM8" s="251"/>
      <c r="AN8" s="250">
        <v>3012</v>
      </c>
      <c r="AO8" s="215">
        <v>2</v>
      </c>
      <c r="AP8" s="167"/>
      <c r="AQ8" s="188">
        <v>45124</v>
      </c>
      <c r="AR8" s="7" t="s">
        <v>304</v>
      </c>
      <c r="AS8" s="7" t="s">
        <v>305</v>
      </c>
      <c r="AT8" s="35"/>
    </row>
    <row r="9" spans="1:46" x14ac:dyDescent="0.25">
      <c r="B9" s="214" t="s">
        <v>157</v>
      </c>
      <c r="C9" s="174" t="s">
        <v>147</v>
      </c>
      <c r="D9" s="38" t="s">
        <v>148</v>
      </c>
      <c r="E9" s="218"/>
      <c r="F9" s="38" t="s">
        <v>234</v>
      </c>
      <c r="G9" s="38"/>
      <c r="H9" s="80">
        <v>44229</v>
      </c>
      <c r="I9" s="181">
        <f t="shared" si="0"/>
        <v>129.66666666666666</v>
      </c>
      <c r="J9" s="183">
        <f t="shared" si="1"/>
        <v>7.7799999999999994E-2</v>
      </c>
      <c r="K9" s="99">
        <v>45690</v>
      </c>
      <c r="L9" s="100">
        <v>3</v>
      </c>
      <c r="M9" s="101"/>
      <c r="N9" s="101">
        <v>389</v>
      </c>
      <c r="O9" s="102">
        <v>5000</v>
      </c>
      <c r="P9" s="268">
        <v>0.01</v>
      </c>
      <c r="Q9" s="103">
        <v>500</v>
      </c>
      <c r="R9" s="173">
        <v>0.09</v>
      </c>
      <c r="S9" s="190">
        <v>44927</v>
      </c>
      <c r="T9" s="244">
        <v>78731</v>
      </c>
      <c r="U9" s="244">
        <v>22266</v>
      </c>
      <c r="V9" s="115">
        <v>45078.000497685185</v>
      </c>
      <c r="W9" s="246">
        <v>93640</v>
      </c>
      <c r="X9" s="246">
        <v>28444</v>
      </c>
      <c r="Y9" s="126">
        <f t="shared" si="2"/>
        <v>4.9638559396839286</v>
      </c>
      <c r="Z9" s="30">
        <f t="shared" si="3"/>
        <v>14909</v>
      </c>
      <c r="AA9" s="30">
        <f t="shared" si="3"/>
        <v>6178</v>
      </c>
      <c r="AB9" s="85">
        <f t="shared" si="4"/>
        <v>3003.5118224944545</v>
      </c>
      <c r="AC9" s="85">
        <f t="shared" si="5"/>
        <v>1244.5969575002173</v>
      </c>
      <c r="AD9" s="32">
        <f t="shared" si="6"/>
        <v>1336.8451558277877</v>
      </c>
      <c r="AE9" s="32">
        <f t="shared" si="7"/>
        <v>1077.9302908335505</v>
      </c>
      <c r="AF9" s="94">
        <f t="shared" si="8"/>
        <v>6635.9067671934508</v>
      </c>
      <c r="AG9" s="94">
        <f t="shared" si="9"/>
        <v>5350.6906767193441</v>
      </c>
      <c r="AH9" s="86">
        <f t="shared" si="10"/>
        <v>66.359067671934511</v>
      </c>
      <c r="AI9" s="86">
        <f t="shared" si="11"/>
        <v>481.56216090474095</v>
      </c>
      <c r="AJ9" s="91">
        <f t="shared" si="12"/>
        <v>3.1213333333333333</v>
      </c>
      <c r="AK9" s="91">
        <f>X9/AM9</f>
        <v>1.4221999999999999</v>
      </c>
      <c r="AL9" s="173">
        <v>30000</v>
      </c>
      <c r="AM9" s="173">
        <v>20000</v>
      </c>
      <c r="AN9" s="250">
        <v>8514</v>
      </c>
      <c r="AO9" s="215">
        <v>8</v>
      </c>
      <c r="AP9" s="215">
        <v>1</v>
      </c>
      <c r="AQ9" s="188">
        <v>45124</v>
      </c>
      <c r="AR9" s="7" t="s">
        <v>306</v>
      </c>
      <c r="AS9" s="53" t="s">
        <v>268</v>
      </c>
      <c r="AT9" s="35"/>
    </row>
    <row r="10" spans="1:46" x14ac:dyDescent="0.25">
      <c r="B10" s="214" t="s">
        <v>158</v>
      </c>
      <c r="C10" s="174" t="s">
        <v>80</v>
      </c>
      <c r="D10" s="38" t="s">
        <v>13</v>
      </c>
      <c r="E10" s="218"/>
      <c r="F10" s="38" t="s">
        <v>235</v>
      </c>
      <c r="G10" s="38"/>
      <c r="H10" s="80">
        <v>43340</v>
      </c>
      <c r="I10" s="181">
        <f t="shared" si="0"/>
        <v>66.666666666666671</v>
      </c>
      <c r="J10" s="183">
        <f t="shared" si="1"/>
        <v>6.6666666666666666E-2</v>
      </c>
      <c r="K10" s="99">
        <v>45199</v>
      </c>
      <c r="L10" s="100">
        <v>3</v>
      </c>
      <c r="M10" s="101"/>
      <c r="N10" s="101">
        <v>200</v>
      </c>
      <c r="O10" s="102">
        <v>3000</v>
      </c>
      <c r="P10" s="108">
        <v>0.01</v>
      </c>
      <c r="Q10" s="103">
        <v>300</v>
      </c>
      <c r="R10" s="108">
        <v>0.08</v>
      </c>
      <c r="S10" s="190">
        <v>44928</v>
      </c>
      <c r="T10" s="244">
        <v>112125</v>
      </c>
      <c r="U10" s="244">
        <v>19206</v>
      </c>
      <c r="V10" s="115">
        <v>45096.289687500001</v>
      </c>
      <c r="W10" s="246">
        <v>126512</v>
      </c>
      <c r="X10" s="246">
        <v>19285</v>
      </c>
      <c r="Y10" s="126">
        <f t="shared" si="2"/>
        <v>5.5322053747534703</v>
      </c>
      <c r="Z10" s="30">
        <f t="shared" si="3"/>
        <v>14387</v>
      </c>
      <c r="AA10" s="30">
        <f t="shared" si="3"/>
        <v>79</v>
      </c>
      <c r="AB10" s="85">
        <f t="shared" si="4"/>
        <v>2600.5903659426458</v>
      </c>
      <c r="AC10" s="85">
        <f t="shared" si="5"/>
        <v>14.280019386214571</v>
      </c>
      <c r="AD10" s="32">
        <f t="shared" si="6"/>
        <v>1600.5903659426458</v>
      </c>
      <c r="AE10" s="32">
        <f t="shared" si="7"/>
        <v>-85.719980613785424</v>
      </c>
      <c r="AF10" s="94">
        <f t="shared" si="8"/>
        <v>8854.7946252465281</v>
      </c>
      <c r="AG10" s="94">
        <f t="shared" si="9"/>
        <v>-474.22053747534699</v>
      </c>
      <c r="AH10" s="86">
        <f t="shared" si="10"/>
        <v>88.54794625246528</v>
      </c>
      <c r="AI10" s="86">
        <f t="shared" si="11"/>
        <v>-37.937642998027762</v>
      </c>
      <c r="AJ10" s="91">
        <f t="shared" si="12"/>
        <v>6.3255999999999997</v>
      </c>
      <c r="AK10" s="91">
        <f>X10/AM10</f>
        <v>1.6070833333333334</v>
      </c>
      <c r="AL10" s="173">
        <v>20000</v>
      </c>
      <c r="AM10" s="173">
        <v>12000</v>
      </c>
      <c r="AN10" s="250">
        <v>8511</v>
      </c>
      <c r="AO10" s="215">
        <v>7</v>
      </c>
      <c r="AP10" s="215">
        <v>3</v>
      </c>
      <c r="AQ10" s="188">
        <v>45124</v>
      </c>
      <c r="AR10" s="7" t="s">
        <v>307</v>
      </c>
      <c r="AS10" s="53" t="s">
        <v>268</v>
      </c>
      <c r="AT10" s="35"/>
    </row>
    <row r="11" spans="1:46" x14ac:dyDescent="0.25">
      <c r="B11" s="214" t="s">
        <v>176</v>
      </c>
      <c r="C11" s="174" t="s">
        <v>80</v>
      </c>
      <c r="D11" s="38" t="s">
        <v>124</v>
      </c>
      <c r="E11" s="218"/>
      <c r="F11" s="38" t="s">
        <v>236</v>
      </c>
      <c r="G11" s="38"/>
      <c r="H11" s="80">
        <v>44011</v>
      </c>
      <c r="I11" s="181">
        <f t="shared" si="0"/>
        <v>66.666666666666671</v>
      </c>
      <c r="J11" s="183">
        <f t="shared" si="1"/>
        <v>6.6666666666666666E-2</v>
      </c>
      <c r="K11" s="99">
        <v>45839</v>
      </c>
      <c r="L11" s="100">
        <v>3</v>
      </c>
      <c r="M11" s="101"/>
      <c r="N11" s="101">
        <v>200</v>
      </c>
      <c r="O11" s="102">
        <v>3000</v>
      </c>
      <c r="P11" s="108">
        <v>0.01</v>
      </c>
      <c r="Q11" s="103">
        <v>300</v>
      </c>
      <c r="R11" s="108">
        <v>0.08</v>
      </c>
      <c r="S11" s="190">
        <v>44927</v>
      </c>
      <c r="T11" s="244">
        <v>26125</v>
      </c>
      <c r="U11" s="244">
        <v>4401</v>
      </c>
      <c r="V11" s="115">
        <v>45096.594131944446</v>
      </c>
      <c r="W11" s="246">
        <v>29777</v>
      </c>
      <c r="X11" s="246">
        <v>4686</v>
      </c>
      <c r="Y11" s="126">
        <f t="shared" si="2"/>
        <v>5.5750865201987638</v>
      </c>
      <c r="Z11" s="30">
        <f t="shared" si="3"/>
        <v>3652</v>
      </c>
      <c r="AA11" s="30">
        <f t="shared" si="3"/>
        <v>285</v>
      </c>
      <c r="AB11" s="85">
        <f t="shared" si="4"/>
        <v>655.05709853446331</v>
      </c>
      <c r="AC11" s="85">
        <f t="shared" si="5"/>
        <v>51.120282881249196</v>
      </c>
      <c r="AD11" s="32">
        <f t="shared" si="6"/>
        <v>-344.94290146553669</v>
      </c>
      <c r="AE11" s="32">
        <f t="shared" si="7"/>
        <v>-48.879717118750804</v>
      </c>
      <c r="AF11" s="94">
        <f t="shared" si="8"/>
        <v>-1923.086520198764</v>
      </c>
      <c r="AG11" s="94">
        <f t="shared" si="9"/>
        <v>-272.50865201987637</v>
      </c>
      <c r="AH11" s="86">
        <f t="shared" si="10"/>
        <v>-19.23086520198764</v>
      </c>
      <c r="AI11" s="86">
        <f t="shared" si="11"/>
        <v>-21.80069216159011</v>
      </c>
      <c r="AJ11" s="91">
        <f t="shared" si="12"/>
        <v>1.48885</v>
      </c>
      <c r="AK11" s="91">
        <f>X11/AM11</f>
        <v>0.39050000000000001</v>
      </c>
      <c r="AL11" s="173">
        <v>20000</v>
      </c>
      <c r="AM11" s="173">
        <v>12000</v>
      </c>
      <c r="AN11" s="250">
        <v>8511</v>
      </c>
      <c r="AO11" s="215">
        <v>5</v>
      </c>
      <c r="AP11" s="215">
        <v>1</v>
      </c>
      <c r="AQ11" s="188">
        <v>45124</v>
      </c>
      <c r="AR11" s="7" t="s">
        <v>308</v>
      </c>
      <c r="AS11">
        <v>0</v>
      </c>
      <c r="AT11" s="35"/>
    </row>
    <row r="12" spans="1:46" x14ac:dyDescent="0.25">
      <c r="B12" s="7" t="s">
        <v>203</v>
      </c>
      <c r="C12" s="174" t="s">
        <v>200</v>
      </c>
      <c r="D12" s="38" t="s">
        <v>194</v>
      </c>
      <c r="E12" s="218"/>
      <c r="F12" s="38" t="s">
        <v>238</v>
      </c>
      <c r="G12" s="38"/>
      <c r="H12" s="80">
        <v>44735</v>
      </c>
      <c r="I12" s="80">
        <v>44735</v>
      </c>
      <c r="J12" s="80">
        <v>44735</v>
      </c>
      <c r="K12" s="99">
        <v>46196</v>
      </c>
      <c r="L12" s="100">
        <v>3</v>
      </c>
      <c r="M12" s="101"/>
      <c r="N12" s="101">
        <v>390</v>
      </c>
      <c r="O12" s="102">
        <v>5000</v>
      </c>
      <c r="P12" s="108">
        <v>0.01</v>
      </c>
      <c r="Q12" s="103">
        <v>500</v>
      </c>
      <c r="R12" s="108">
        <v>0.08</v>
      </c>
      <c r="S12" s="190">
        <v>44918</v>
      </c>
      <c r="T12" s="244">
        <v>18120</v>
      </c>
      <c r="U12" s="244">
        <v>7733</v>
      </c>
      <c r="V12" s="115">
        <v>45097.47861111111</v>
      </c>
      <c r="W12" s="246">
        <v>37487</v>
      </c>
      <c r="X12" s="246">
        <v>13307</v>
      </c>
      <c r="Y12" s="126">
        <f t="shared" si="2"/>
        <v>5.9000200891226093</v>
      </c>
      <c r="Z12" s="30">
        <f t="shared" si="3"/>
        <v>19367</v>
      </c>
      <c r="AA12" s="30">
        <f t="shared" si="3"/>
        <v>5574</v>
      </c>
      <c r="AB12" s="85">
        <f t="shared" si="4"/>
        <v>3282.531196072599</v>
      </c>
      <c r="AC12" s="85">
        <f t="shared" si="5"/>
        <v>944.74254592392549</v>
      </c>
      <c r="AD12" s="32">
        <f t="shared" si="6"/>
        <v>1615.8645294059322</v>
      </c>
      <c r="AE12" s="32">
        <f t="shared" si="7"/>
        <v>778.07587925725886</v>
      </c>
      <c r="AF12" s="94">
        <f t="shared" si="8"/>
        <v>9533.6331847956517</v>
      </c>
      <c r="AG12" s="94">
        <f t="shared" si="9"/>
        <v>4590.6633184795646</v>
      </c>
      <c r="AH12" s="86">
        <f t="shared" si="10"/>
        <v>95.336331847956515</v>
      </c>
      <c r="AI12" s="86">
        <f t="shared" si="11"/>
        <v>367.25306547836516</v>
      </c>
      <c r="AJ12" s="91">
        <f t="shared" si="12"/>
        <v>1.87435</v>
      </c>
      <c r="AK12" s="91">
        <f>X12/AM12</f>
        <v>1.1089166666666668</v>
      </c>
      <c r="AL12" s="173">
        <v>20000</v>
      </c>
      <c r="AM12" s="173">
        <v>12000</v>
      </c>
      <c r="AN12" s="250">
        <v>8531</v>
      </c>
      <c r="AO12" s="215">
        <v>4</v>
      </c>
      <c r="AP12" s="215">
        <v>1</v>
      </c>
      <c r="AQ12" s="188">
        <v>45124</v>
      </c>
      <c r="AR12" s="7" t="s">
        <v>309</v>
      </c>
      <c r="AS12" s="53" t="s">
        <v>310</v>
      </c>
      <c r="AT12" s="35"/>
    </row>
    <row r="13" spans="1:46" x14ac:dyDescent="0.25">
      <c r="B13" s="7" t="s">
        <v>204</v>
      </c>
      <c r="C13" s="174" t="s">
        <v>200</v>
      </c>
      <c r="D13" s="194" t="s">
        <v>211</v>
      </c>
      <c r="E13" s="218"/>
      <c r="F13" s="38" t="s">
        <v>202</v>
      </c>
      <c r="G13" s="38"/>
      <c r="H13" s="80">
        <v>44729</v>
      </c>
      <c r="I13" s="181">
        <f>IF(M13="",N13/L13,M13)</f>
        <v>0</v>
      </c>
      <c r="J13" s="183" t="e">
        <f>I13/(O13/L13)</f>
        <v>#DIV/0!</v>
      </c>
      <c r="K13" s="80" t="s">
        <v>208</v>
      </c>
      <c r="L13" s="100">
        <v>6</v>
      </c>
      <c r="M13" s="101">
        <v>0</v>
      </c>
      <c r="N13" s="101">
        <v>0</v>
      </c>
      <c r="O13" s="102">
        <v>0</v>
      </c>
      <c r="P13" s="173">
        <v>0.01</v>
      </c>
      <c r="Q13" s="103">
        <v>0</v>
      </c>
      <c r="R13" s="173">
        <v>0.08</v>
      </c>
      <c r="S13" s="190">
        <v>44928</v>
      </c>
      <c r="T13" s="244">
        <v>125223</v>
      </c>
      <c r="U13" s="244">
        <v>79412</v>
      </c>
      <c r="V13" s="193">
        <v>45078.700601851851</v>
      </c>
      <c r="W13" s="247">
        <v>127663</v>
      </c>
      <c r="X13" s="247">
        <v>82149</v>
      </c>
      <c r="Y13" s="126">
        <f t="shared" si="2"/>
        <v>4.9539974310273305</v>
      </c>
      <c r="Z13" s="30">
        <f t="shared" si="3"/>
        <v>2440</v>
      </c>
      <c r="AA13" s="30">
        <f t="shared" si="3"/>
        <v>2737</v>
      </c>
      <c r="AB13" s="85">
        <f t="shared" si="4"/>
        <v>492.53154325798818</v>
      </c>
      <c r="AC13" s="85">
        <f t="shared" si="5"/>
        <v>552.48312864635807</v>
      </c>
      <c r="AD13" s="32">
        <f t="shared" si="6"/>
        <v>492.53154325798818</v>
      </c>
      <c r="AE13" s="32">
        <f t="shared" si="7"/>
        <v>552.48312864635807</v>
      </c>
      <c r="AF13" s="94">
        <f t="shared" si="8"/>
        <v>2440</v>
      </c>
      <c r="AG13" s="94">
        <f t="shared" si="9"/>
        <v>2737</v>
      </c>
      <c r="AH13" s="86">
        <f t="shared" si="10"/>
        <v>24.400000000000002</v>
      </c>
      <c r="AI13" s="86">
        <f t="shared" si="11"/>
        <v>218.96</v>
      </c>
      <c r="AJ13" s="243">
        <f>Z13/AL13</f>
        <v>0.122</v>
      </c>
      <c r="AK13" s="243">
        <f>AA13/AM13</f>
        <v>0.22808333333333333</v>
      </c>
      <c r="AL13" s="173">
        <v>20000</v>
      </c>
      <c r="AM13" s="173">
        <v>12000</v>
      </c>
      <c r="AN13" s="250">
        <v>8511</v>
      </c>
      <c r="AO13" s="215">
        <v>3</v>
      </c>
      <c r="AP13" s="215">
        <v>1</v>
      </c>
      <c r="AQ13" s="188">
        <v>45124</v>
      </c>
      <c r="AR13" s="7" t="s">
        <v>311</v>
      </c>
      <c r="AS13" s="179" t="s">
        <v>239</v>
      </c>
      <c r="AT13" s="196"/>
    </row>
    <row r="14" spans="1:46" x14ac:dyDescent="0.25">
      <c r="B14" s="7" t="s">
        <v>294</v>
      </c>
      <c r="C14" s="174" t="s">
        <v>292</v>
      </c>
      <c r="D14" s="38" t="s">
        <v>194</v>
      </c>
      <c r="E14" s="218"/>
      <c r="F14" s="38" t="s">
        <v>293</v>
      </c>
      <c r="G14" s="38"/>
      <c r="H14" s="80">
        <v>45069</v>
      </c>
      <c r="I14" s="181"/>
      <c r="J14" s="183"/>
      <c r="K14" s="99">
        <v>46530</v>
      </c>
      <c r="L14" s="100">
        <v>1</v>
      </c>
      <c r="M14" s="101">
        <v>130</v>
      </c>
      <c r="N14" s="101"/>
      <c r="O14" s="102">
        <v>1666</v>
      </c>
      <c r="P14" s="173">
        <v>0.01</v>
      </c>
      <c r="Q14" s="103">
        <v>166</v>
      </c>
      <c r="R14" s="108">
        <v>0.08</v>
      </c>
      <c r="S14" s="190">
        <v>45069</v>
      </c>
      <c r="T14" s="244">
        <v>0</v>
      </c>
      <c r="U14" s="244">
        <v>0</v>
      </c>
      <c r="V14" s="115">
        <v>45097.084999999999</v>
      </c>
      <c r="W14" s="246">
        <v>3881</v>
      </c>
      <c r="X14" s="246">
        <v>84</v>
      </c>
      <c r="Y14" s="126">
        <f t="shared" si="2"/>
        <v>0.92324128862587529</v>
      </c>
      <c r="Z14" s="30">
        <f t="shared" si="3"/>
        <v>3881</v>
      </c>
      <c r="AA14" s="30">
        <f t="shared" si="3"/>
        <v>84</v>
      </c>
      <c r="AB14" s="85">
        <f t="shared" si="4"/>
        <v>4203.668150258276</v>
      </c>
      <c r="AC14" s="85">
        <f t="shared" si="5"/>
        <v>90.983799181060334</v>
      </c>
      <c r="AD14" s="32">
        <f t="shared" si="6"/>
        <v>2537.668150258276</v>
      </c>
      <c r="AE14" s="32">
        <f t="shared" si="7"/>
        <v>-75.016200818939666</v>
      </c>
      <c r="AF14" s="94">
        <f t="shared" si="8"/>
        <v>2342.8800131492922</v>
      </c>
      <c r="AG14" s="94">
        <f t="shared" si="9"/>
        <v>-69.258053911895303</v>
      </c>
      <c r="AH14" s="86">
        <f t="shared" si="10"/>
        <v>23.42880013149292</v>
      </c>
      <c r="AI14" s="86">
        <f t="shared" si="11"/>
        <v>-5.5406443129516241</v>
      </c>
      <c r="AJ14" s="91">
        <f t="shared" ref="AJ14:AK29" si="13">W14/AL14</f>
        <v>0.19405</v>
      </c>
      <c r="AK14" s="91">
        <f t="shared" si="13"/>
        <v>7.0000000000000001E-3</v>
      </c>
      <c r="AL14" s="173">
        <v>20000</v>
      </c>
      <c r="AM14" s="173">
        <v>12000</v>
      </c>
      <c r="AN14" s="250">
        <v>8531</v>
      </c>
      <c r="AO14" s="215">
        <v>2</v>
      </c>
      <c r="AP14" s="215">
        <v>1</v>
      </c>
      <c r="AQ14" s="188">
        <v>45124</v>
      </c>
      <c r="AR14" s="7" t="s">
        <v>312</v>
      </c>
      <c r="AS14">
        <v>0</v>
      </c>
      <c r="AT14" s="35"/>
    </row>
    <row r="15" spans="1:46" x14ac:dyDescent="0.25">
      <c r="B15" s="214" t="s">
        <v>160</v>
      </c>
      <c r="C15" s="174" t="s">
        <v>144</v>
      </c>
      <c r="D15" s="38" t="s">
        <v>124</v>
      </c>
      <c r="E15" s="218"/>
      <c r="F15" s="38" t="s">
        <v>240</v>
      </c>
      <c r="G15" s="38"/>
      <c r="H15" s="80">
        <v>44098</v>
      </c>
      <c r="I15" s="181">
        <f>IF(M15="",N15/L15,M15)</f>
        <v>66.666666666666671</v>
      </c>
      <c r="J15" s="183">
        <f>I15/(O15/L15)</f>
        <v>6.6666666666666666E-2</v>
      </c>
      <c r="K15" s="99">
        <v>45924</v>
      </c>
      <c r="L15" s="100">
        <v>3</v>
      </c>
      <c r="M15" s="101"/>
      <c r="N15" s="101">
        <v>200</v>
      </c>
      <c r="O15" s="102">
        <v>3000</v>
      </c>
      <c r="P15" s="108">
        <v>0.01</v>
      </c>
      <c r="Q15" s="103">
        <v>300</v>
      </c>
      <c r="R15" s="108">
        <v>0.08</v>
      </c>
      <c r="S15" s="190">
        <v>44928</v>
      </c>
      <c r="T15" s="244">
        <v>22097</v>
      </c>
      <c r="U15" s="244">
        <v>14192</v>
      </c>
      <c r="V15" s="115">
        <v>45096.253842592596</v>
      </c>
      <c r="W15" s="246">
        <v>26967</v>
      </c>
      <c r="X15" s="246">
        <v>17248</v>
      </c>
      <c r="Y15" s="126">
        <f t="shared" si="2"/>
        <v>5.5310270411767224</v>
      </c>
      <c r="Z15" s="30">
        <f t="shared" si="3"/>
        <v>4870</v>
      </c>
      <c r="AA15" s="30">
        <f t="shared" si="3"/>
        <v>3056</v>
      </c>
      <c r="AB15" s="85">
        <f t="shared" si="4"/>
        <v>880.48746891751057</v>
      </c>
      <c r="AC15" s="85">
        <f t="shared" si="5"/>
        <v>552.51944661435573</v>
      </c>
      <c r="AD15" s="32">
        <f t="shared" si="6"/>
        <v>-119.51253108248943</v>
      </c>
      <c r="AE15" s="32">
        <f t="shared" si="7"/>
        <v>452.51944661435573</v>
      </c>
      <c r="AF15" s="94">
        <f t="shared" si="8"/>
        <v>-661.02704117672261</v>
      </c>
      <c r="AG15" s="94">
        <f t="shared" si="9"/>
        <v>2502.8972958823279</v>
      </c>
      <c r="AH15" s="86">
        <f t="shared" si="10"/>
        <v>-6.6102704117672264</v>
      </c>
      <c r="AI15" s="86">
        <f t="shared" si="11"/>
        <v>200.23178367058622</v>
      </c>
      <c r="AJ15" s="91">
        <f t="shared" si="13"/>
        <v>1.3483499999999999</v>
      </c>
      <c r="AK15" s="91">
        <f t="shared" si="13"/>
        <v>1.4373333333333334</v>
      </c>
      <c r="AL15" s="173">
        <v>20000</v>
      </c>
      <c r="AM15" s="173">
        <v>12000</v>
      </c>
      <c r="AN15" s="250">
        <v>8511</v>
      </c>
      <c r="AO15" s="215">
        <v>4</v>
      </c>
      <c r="AP15" s="215">
        <v>2</v>
      </c>
      <c r="AQ15" s="188">
        <v>45124</v>
      </c>
      <c r="AR15" s="7" t="s">
        <v>313</v>
      </c>
      <c r="AS15" s="269">
        <v>0</v>
      </c>
      <c r="AT15" s="35"/>
    </row>
    <row r="16" spans="1:46" x14ac:dyDescent="0.25">
      <c r="B16" s="214" t="s">
        <v>161</v>
      </c>
      <c r="C16" s="174" t="s">
        <v>126</v>
      </c>
      <c r="D16" s="38" t="s">
        <v>124</v>
      </c>
      <c r="E16" s="218"/>
      <c r="F16" s="38" t="s">
        <v>241</v>
      </c>
      <c r="G16" s="38"/>
      <c r="H16" s="80">
        <v>43864</v>
      </c>
      <c r="I16" s="181">
        <f>IF(M16="",N16/L16,M16)</f>
        <v>66.666666666666671</v>
      </c>
      <c r="J16" s="183">
        <f>I16/(O16/L16)</f>
        <v>6.6666666666666666E-2</v>
      </c>
      <c r="K16" s="99">
        <v>45691</v>
      </c>
      <c r="L16" s="100">
        <v>3</v>
      </c>
      <c r="M16" s="101"/>
      <c r="N16" s="101">
        <v>200</v>
      </c>
      <c r="O16" s="102">
        <v>3000</v>
      </c>
      <c r="P16" s="108">
        <v>0.01</v>
      </c>
      <c r="Q16" s="103">
        <v>300</v>
      </c>
      <c r="R16" s="108">
        <v>0.08</v>
      </c>
      <c r="S16" s="190">
        <v>44927</v>
      </c>
      <c r="T16" s="244">
        <v>25308</v>
      </c>
      <c r="U16" s="244">
        <v>15057</v>
      </c>
      <c r="V16" s="115">
        <v>45097.329027777778</v>
      </c>
      <c r="W16" s="246">
        <v>36682</v>
      </c>
      <c r="X16" s="246">
        <v>20403</v>
      </c>
      <c r="Y16" s="126">
        <f t="shared" si="2"/>
        <v>5.5992448316166277</v>
      </c>
      <c r="Z16" s="30">
        <f t="shared" si="3"/>
        <v>11374</v>
      </c>
      <c r="AA16" s="30">
        <f t="shared" si="3"/>
        <v>5346</v>
      </c>
      <c r="AB16" s="85">
        <f t="shared" si="4"/>
        <v>2031.3453585340135</v>
      </c>
      <c r="AC16" s="85">
        <f t="shared" si="5"/>
        <v>954.7716095237239</v>
      </c>
      <c r="AD16" s="32">
        <f t="shared" si="6"/>
        <v>1031.3453585340135</v>
      </c>
      <c r="AE16" s="32">
        <f t="shared" si="7"/>
        <v>854.7716095237239</v>
      </c>
      <c r="AF16" s="94">
        <f t="shared" si="8"/>
        <v>5774.7551683833726</v>
      </c>
      <c r="AG16" s="94">
        <f t="shared" si="9"/>
        <v>4786.0755168383375</v>
      </c>
      <c r="AH16" s="86">
        <f t="shared" si="10"/>
        <v>57.747551683833727</v>
      </c>
      <c r="AI16" s="86">
        <f t="shared" si="11"/>
        <v>382.88604134706702</v>
      </c>
      <c r="AJ16" s="91">
        <f t="shared" si="13"/>
        <v>1.8341000000000001</v>
      </c>
      <c r="AK16" s="91">
        <f t="shared" si="13"/>
        <v>1.70025</v>
      </c>
      <c r="AL16" s="173">
        <v>20000</v>
      </c>
      <c r="AM16" s="173">
        <v>12000</v>
      </c>
      <c r="AN16" s="250">
        <v>8511</v>
      </c>
      <c r="AO16" s="215">
        <v>4</v>
      </c>
      <c r="AP16" s="215">
        <v>2</v>
      </c>
      <c r="AQ16" s="188">
        <v>45124</v>
      </c>
      <c r="AR16" s="7" t="s">
        <v>314</v>
      </c>
      <c r="AS16" s="53" t="s">
        <v>268</v>
      </c>
      <c r="AT16" s="35"/>
    </row>
    <row r="17" spans="2:47" x14ac:dyDescent="0.25">
      <c r="B17" s="214" t="s">
        <v>183</v>
      </c>
      <c r="C17" s="174" t="s">
        <v>182</v>
      </c>
      <c r="D17" s="38" t="s">
        <v>125</v>
      </c>
      <c r="E17" s="219" t="s">
        <v>138</v>
      </c>
      <c r="F17" s="38" t="s">
        <v>242</v>
      </c>
      <c r="G17" s="172"/>
      <c r="H17" s="80">
        <v>44253</v>
      </c>
      <c r="I17" s="181">
        <f>IF(M17="",N17/L17,M17)</f>
        <v>39</v>
      </c>
      <c r="J17" s="183">
        <f>I17/(O17/L17)</f>
        <v>3.9E-2</v>
      </c>
      <c r="K17" s="99">
        <v>45348</v>
      </c>
      <c r="L17" s="100">
        <v>3</v>
      </c>
      <c r="M17" s="101"/>
      <c r="N17" s="101">
        <v>117</v>
      </c>
      <c r="O17" s="102">
        <v>3000</v>
      </c>
      <c r="P17" s="108">
        <v>0.01</v>
      </c>
      <c r="Q17" s="165"/>
      <c r="R17" s="165"/>
      <c r="S17" s="190">
        <v>44926</v>
      </c>
      <c r="T17" s="244">
        <v>36703</v>
      </c>
      <c r="U17" s="245"/>
      <c r="V17" s="115">
        <v>45077.995775462965</v>
      </c>
      <c r="W17" s="246">
        <v>48055</v>
      </c>
      <c r="X17" s="169"/>
      <c r="Y17" s="126">
        <f t="shared" si="2"/>
        <v>4.9965738153505903</v>
      </c>
      <c r="Z17" s="30">
        <f t="shared" si="3"/>
        <v>11352</v>
      </c>
      <c r="AA17" s="30">
        <f t="shared" si="3"/>
        <v>0</v>
      </c>
      <c r="AB17" s="85">
        <f t="shared" si="4"/>
        <v>2271.9568287221377</v>
      </c>
      <c r="AC17" s="85">
        <f t="shared" si="5"/>
        <v>0</v>
      </c>
      <c r="AD17" s="32">
        <f t="shared" si="6"/>
        <v>1271.9568287221377</v>
      </c>
      <c r="AE17" s="32">
        <f t="shared" si="7"/>
        <v>0</v>
      </c>
      <c r="AF17" s="94">
        <f t="shared" si="8"/>
        <v>6355.4261846494092</v>
      </c>
      <c r="AG17" s="94">
        <f t="shared" si="9"/>
        <v>0</v>
      </c>
      <c r="AH17" s="86">
        <f t="shared" si="10"/>
        <v>63.554261846494093</v>
      </c>
      <c r="AI17" s="86">
        <f t="shared" si="11"/>
        <v>0</v>
      </c>
      <c r="AJ17" s="91">
        <f t="shared" si="13"/>
        <v>1.6018333333333334</v>
      </c>
      <c r="AK17" s="165"/>
      <c r="AL17" s="173">
        <v>30000</v>
      </c>
      <c r="AM17" s="251"/>
      <c r="AN17" s="250">
        <v>3012</v>
      </c>
      <c r="AO17" s="215">
        <v>4</v>
      </c>
      <c r="AP17" s="165"/>
      <c r="AQ17" s="188">
        <v>45124</v>
      </c>
      <c r="AR17" s="7" t="s">
        <v>315</v>
      </c>
      <c r="AS17" s="53" t="s">
        <v>310</v>
      </c>
      <c r="AT17" s="35"/>
    </row>
    <row r="18" spans="2:47" x14ac:dyDescent="0.25">
      <c r="B18" s="214" t="s">
        <v>162</v>
      </c>
      <c r="C18" s="174" t="s">
        <v>48</v>
      </c>
      <c r="D18" s="38" t="s">
        <v>124</v>
      </c>
      <c r="E18" s="218"/>
      <c r="F18" s="38" t="s">
        <v>243</v>
      </c>
      <c r="G18" s="38"/>
      <c r="H18" s="80">
        <v>44013</v>
      </c>
      <c r="I18" s="181">
        <f>IF(M18="",N18/L18,M18)</f>
        <v>66.666666666666671</v>
      </c>
      <c r="J18" s="183">
        <f>I18/(O18/L18)</f>
        <v>6.6666666666666666E-2</v>
      </c>
      <c r="K18" s="99">
        <v>45839</v>
      </c>
      <c r="L18" s="100">
        <v>3</v>
      </c>
      <c r="M18" s="101"/>
      <c r="N18" s="101">
        <v>200</v>
      </c>
      <c r="O18" s="102">
        <v>3000</v>
      </c>
      <c r="P18" s="108">
        <v>0.01</v>
      </c>
      <c r="Q18" s="103">
        <v>300</v>
      </c>
      <c r="R18" s="108">
        <v>0.08</v>
      </c>
      <c r="S18" s="190">
        <v>44929</v>
      </c>
      <c r="T18" s="244">
        <v>59203</v>
      </c>
      <c r="U18" s="244">
        <v>4508</v>
      </c>
      <c r="V18" s="115">
        <v>45098.513622685183</v>
      </c>
      <c r="W18" s="246">
        <v>68109</v>
      </c>
      <c r="X18" s="246">
        <v>5169</v>
      </c>
      <c r="Y18" s="126">
        <f t="shared" si="2"/>
        <v>5.5724399304793808</v>
      </c>
      <c r="Z18" s="30">
        <f t="shared" si="3"/>
        <v>8906</v>
      </c>
      <c r="AA18" s="30">
        <f t="shared" si="3"/>
        <v>661</v>
      </c>
      <c r="AB18" s="85">
        <f t="shared" si="4"/>
        <v>1598.222701565101</v>
      </c>
      <c r="AC18" s="85">
        <f t="shared" si="5"/>
        <v>118.61949312087714</v>
      </c>
      <c r="AD18" s="32">
        <f t="shared" si="6"/>
        <v>598.22270156510103</v>
      </c>
      <c r="AE18" s="32">
        <f t="shared" si="7"/>
        <v>18.619493120877138</v>
      </c>
      <c r="AF18" s="94">
        <f t="shared" si="8"/>
        <v>3333.560069520619</v>
      </c>
      <c r="AG18" s="94">
        <f t="shared" si="9"/>
        <v>103.75600695206191</v>
      </c>
      <c r="AH18" s="86">
        <f t="shared" si="10"/>
        <v>33.335600695206189</v>
      </c>
      <c r="AI18" s="86">
        <f t="shared" si="11"/>
        <v>8.3004805561649526</v>
      </c>
      <c r="AJ18" s="91">
        <f t="shared" si="13"/>
        <v>3.4054500000000001</v>
      </c>
      <c r="AK18" s="91">
        <f t="shared" si="13"/>
        <v>0.43075000000000002</v>
      </c>
      <c r="AL18" s="173">
        <v>20000</v>
      </c>
      <c r="AM18" s="173">
        <v>12000</v>
      </c>
      <c r="AN18" s="250">
        <v>8511</v>
      </c>
      <c r="AO18" s="215">
        <v>9</v>
      </c>
      <c r="AP18" s="215">
        <v>2</v>
      </c>
      <c r="AQ18" s="188">
        <v>45124</v>
      </c>
      <c r="AR18" s="7" t="s">
        <v>316</v>
      </c>
      <c r="AS18" s="189">
        <v>0</v>
      </c>
      <c r="AT18" s="189"/>
      <c r="AU18" s="189"/>
    </row>
    <row r="19" spans="2:47" x14ac:dyDescent="0.25">
      <c r="B19" s="7" t="s">
        <v>317</v>
      </c>
      <c r="C19" s="174" t="s">
        <v>53</v>
      </c>
      <c r="D19" s="38" t="s">
        <v>194</v>
      </c>
      <c r="E19" s="218"/>
      <c r="F19" s="38" t="s">
        <v>318</v>
      </c>
      <c r="G19" s="38"/>
      <c r="H19" s="199">
        <v>45108</v>
      </c>
      <c r="I19" s="181"/>
      <c r="J19" s="183"/>
      <c r="K19" s="99">
        <v>46569</v>
      </c>
      <c r="L19" s="100">
        <v>3</v>
      </c>
      <c r="M19" s="101"/>
      <c r="N19" s="101">
        <v>390</v>
      </c>
      <c r="O19" s="267">
        <v>5000</v>
      </c>
      <c r="P19" s="268">
        <v>0.01</v>
      </c>
      <c r="Q19" s="103">
        <v>500</v>
      </c>
      <c r="R19" s="108">
        <v>0.08</v>
      </c>
      <c r="S19" s="264"/>
      <c r="T19" s="244">
        <v>0</v>
      </c>
      <c r="U19" s="244">
        <v>0</v>
      </c>
      <c r="V19" s="252"/>
      <c r="W19" s="266"/>
      <c r="X19" s="266"/>
      <c r="Y19" s="126">
        <f t="shared" si="2"/>
        <v>0</v>
      </c>
      <c r="Z19" s="30">
        <f t="shared" si="3"/>
        <v>0</v>
      </c>
      <c r="AA19" s="30">
        <f t="shared" si="3"/>
        <v>0</v>
      </c>
      <c r="AB19" s="85" t="e">
        <f t="shared" si="4"/>
        <v>#DIV/0!</v>
      </c>
      <c r="AC19" s="85" t="e">
        <f t="shared" si="5"/>
        <v>#DIV/0!</v>
      </c>
      <c r="AD19" s="32" t="e">
        <f t="shared" si="6"/>
        <v>#DIV/0!</v>
      </c>
      <c r="AE19" s="32" t="e">
        <f t="shared" si="7"/>
        <v>#DIV/0!</v>
      </c>
      <c r="AF19" s="94" t="e">
        <f t="shared" si="8"/>
        <v>#DIV/0!</v>
      </c>
      <c r="AG19" s="94" t="e">
        <f t="shared" si="9"/>
        <v>#DIV/0!</v>
      </c>
      <c r="AH19" s="86" t="e">
        <f t="shared" si="10"/>
        <v>#DIV/0!</v>
      </c>
      <c r="AI19" s="86" t="e">
        <f t="shared" si="11"/>
        <v>#DIV/0!</v>
      </c>
      <c r="AJ19" s="91">
        <f t="shared" si="13"/>
        <v>0</v>
      </c>
      <c r="AK19" s="91">
        <f t="shared" si="13"/>
        <v>0</v>
      </c>
      <c r="AL19" s="173">
        <v>20000</v>
      </c>
      <c r="AM19" s="173">
        <v>12000</v>
      </c>
      <c r="AN19" s="250">
        <v>8531</v>
      </c>
      <c r="AO19" s="215">
        <v>2</v>
      </c>
      <c r="AP19" s="215">
        <v>1</v>
      </c>
      <c r="AQ19" s="188">
        <v>45124</v>
      </c>
      <c r="AR19" s="7" t="s">
        <v>319</v>
      </c>
      <c r="AS19">
        <v>0</v>
      </c>
      <c r="AT19" s="35"/>
    </row>
    <row r="20" spans="2:47" x14ac:dyDescent="0.25">
      <c r="B20" s="214" t="s">
        <v>163</v>
      </c>
      <c r="C20" s="174" t="s">
        <v>51</v>
      </c>
      <c r="D20" s="38" t="s">
        <v>13</v>
      </c>
      <c r="E20" s="218"/>
      <c r="F20" s="38" t="s">
        <v>244</v>
      </c>
      <c r="G20" s="38"/>
      <c r="H20" s="80">
        <v>43251</v>
      </c>
      <c r="I20" s="181">
        <f t="shared" ref="I20:I38" si="14">IF(M20="",N20/L20,M20)</f>
        <v>66.666666666666671</v>
      </c>
      <c r="J20" s="183">
        <f t="shared" ref="J20:J38" si="15">I20/(O20/L20)</f>
        <v>6.6666666666666666E-2</v>
      </c>
      <c r="K20" s="99">
        <v>45291</v>
      </c>
      <c r="L20" s="100">
        <v>3</v>
      </c>
      <c r="M20" s="101"/>
      <c r="N20" s="101">
        <v>200</v>
      </c>
      <c r="O20" s="102">
        <v>3000</v>
      </c>
      <c r="P20" s="108">
        <v>0.01</v>
      </c>
      <c r="Q20" s="103">
        <v>300</v>
      </c>
      <c r="R20" s="173">
        <v>0.09</v>
      </c>
      <c r="S20" s="190">
        <v>44929</v>
      </c>
      <c r="T20" s="244">
        <v>39417</v>
      </c>
      <c r="U20" s="244">
        <v>31040</v>
      </c>
      <c r="V20" s="115">
        <v>45098.361076388886</v>
      </c>
      <c r="W20" s="246">
        <v>42197</v>
      </c>
      <c r="X20" s="246">
        <v>35018</v>
      </c>
      <c r="Y20" s="126">
        <f t="shared" si="2"/>
        <v>5.5674252593322295</v>
      </c>
      <c r="Z20" s="30">
        <f t="shared" si="3"/>
        <v>2780</v>
      </c>
      <c r="AA20" s="30">
        <f t="shared" si="3"/>
        <v>3978</v>
      </c>
      <c r="AB20" s="85">
        <f t="shared" si="4"/>
        <v>499.33315141323334</v>
      </c>
      <c r="AC20" s="85">
        <f t="shared" si="5"/>
        <v>714.51340874886409</v>
      </c>
      <c r="AD20" s="32">
        <f t="shared" si="6"/>
        <v>-500.66684858676666</v>
      </c>
      <c r="AE20" s="32">
        <f t="shared" si="7"/>
        <v>614.51340874886409</v>
      </c>
      <c r="AF20" s="94">
        <f t="shared" si="8"/>
        <v>-2787.4252593322294</v>
      </c>
      <c r="AG20" s="94">
        <f t="shared" si="9"/>
        <v>3421.2574740667769</v>
      </c>
      <c r="AH20" s="86">
        <f t="shared" si="10"/>
        <v>-27.874252593322296</v>
      </c>
      <c r="AI20" s="86">
        <f t="shared" si="11"/>
        <v>307.91317266600993</v>
      </c>
      <c r="AJ20" s="91">
        <f t="shared" si="13"/>
        <v>2.1098499999999998</v>
      </c>
      <c r="AK20" s="91">
        <f t="shared" si="13"/>
        <v>2.9181666666666666</v>
      </c>
      <c r="AL20" s="173">
        <v>20000</v>
      </c>
      <c r="AM20" s="173">
        <v>12000</v>
      </c>
      <c r="AN20" s="250">
        <v>8511</v>
      </c>
      <c r="AO20" s="215">
        <v>5</v>
      </c>
      <c r="AP20" s="215">
        <v>3</v>
      </c>
      <c r="AQ20" s="188">
        <v>45124</v>
      </c>
      <c r="AR20" s="7" t="s">
        <v>320</v>
      </c>
      <c r="AS20">
        <v>0</v>
      </c>
      <c r="AT20" s="35"/>
    </row>
    <row r="21" spans="2:47" x14ac:dyDescent="0.25">
      <c r="B21" s="214" t="s">
        <v>164</v>
      </c>
      <c r="C21" s="174" t="s">
        <v>16</v>
      </c>
      <c r="D21" s="38" t="s">
        <v>13</v>
      </c>
      <c r="E21" s="218"/>
      <c r="F21" s="38" t="s">
        <v>245</v>
      </c>
      <c r="G21" s="38"/>
      <c r="H21" s="80">
        <v>43109</v>
      </c>
      <c r="I21" s="181">
        <f t="shared" si="14"/>
        <v>66.666666666666671</v>
      </c>
      <c r="J21" s="183">
        <f t="shared" si="15"/>
        <v>6.6666666666666666E-2</v>
      </c>
      <c r="K21" s="99">
        <v>45291</v>
      </c>
      <c r="L21" s="100">
        <v>3</v>
      </c>
      <c r="M21" s="101"/>
      <c r="N21" s="101">
        <v>200</v>
      </c>
      <c r="O21" s="102">
        <v>3000</v>
      </c>
      <c r="P21" s="108">
        <v>0.01</v>
      </c>
      <c r="Q21" s="103">
        <v>300</v>
      </c>
      <c r="R21" s="173">
        <v>0.09</v>
      </c>
      <c r="S21" s="190">
        <v>44928</v>
      </c>
      <c r="T21" s="244">
        <v>42253</v>
      </c>
      <c r="U21" s="244">
        <v>7451</v>
      </c>
      <c r="V21" s="115">
        <v>45096.324976851851</v>
      </c>
      <c r="W21" s="246">
        <v>45715</v>
      </c>
      <c r="X21" s="246">
        <v>8341</v>
      </c>
      <c r="Y21" s="126">
        <f t="shared" si="2"/>
        <v>5.5333654454914791</v>
      </c>
      <c r="Z21" s="30">
        <f t="shared" si="3"/>
        <v>3462</v>
      </c>
      <c r="AA21" s="30">
        <f t="shared" si="3"/>
        <v>890</v>
      </c>
      <c r="AB21" s="85">
        <f t="shared" si="4"/>
        <v>625.65901965155706</v>
      </c>
      <c r="AC21" s="85">
        <f t="shared" si="5"/>
        <v>160.84244006062559</v>
      </c>
      <c r="AD21" s="32">
        <f t="shared" si="6"/>
        <v>-374.34098034844294</v>
      </c>
      <c r="AE21" s="32">
        <f t="shared" si="7"/>
        <v>60.842440060625592</v>
      </c>
      <c r="AF21" s="94">
        <f t="shared" si="8"/>
        <v>-2071.365445491479</v>
      </c>
      <c r="AG21" s="94">
        <f t="shared" si="9"/>
        <v>336.66345545085215</v>
      </c>
      <c r="AH21" s="86">
        <f t="shared" si="10"/>
        <v>-20.713654454914792</v>
      </c>
      <c r="AI21" s="86">
        <f t="shared" si="11"/>
        <v>30.299710990576692</v>
      </c>
      <c r="AJ21" s="91">
        <f t="shared" si="13"/>
        <v>2.2857500000000002</v>
      </c>
      <c r="AK21" s="91">
        <f t="shared" si="13"/>
        <v>0.69508333333333339</v>
      </c>
      <c r="AL21" s="173">
        <v>20000</v>
      </c>
      <c r="AM21" s="173">
        <v>12000</v>
      </c>
      <c r="AN21" s="250">
        <v>8511</v>
      </c>
      <c r="AO21" s="215">
        <v>4</v>
      </c>
      <c r="AP21" s="215">
        <v>1</v>
      </c>
      <c r="AQ21" s="188">
        <v>45124</v>
      </c>
      <c r="AR21" s="7" t="s">
        <v>321</v>
      </c>
      <c r="AS21">
        <v>0</v>
      </c>
      <c r="AT21" s="35"/>
    </row>
    <row r="22" spans="2:47" x14ac:dyDescent="0.25">
      <c r="B22" s="214" t="s">
        <v>165</v>
      </c>
      <c r="C22" s="174" t="s">
        <v>106</v>
      </c>
      <c r="D22" s="38" t="s">
        <v>13</v>
      </c>
      <c r="E22" s="218"/>
      <c r="F22" s="38" t="s">
        <v>246</v>
      </c>
      <c r="G22" s="38"/>
      <c r="H22" s="80">
        <v>43634</v>
      </c>
      <c r="I22" s="181">
        <f t="shared" si="14"/>
        <v>66.666666666666671</v>
      </c>
      <c r="J22" s="183">
        <f t="shared" si="15"/>
        <v>6.6666666666666666E-2</v>
      </c>
      <c r="K22" s="99">
        <v>45473</v>
      </c>
      <c r="L22" s="100">
        <v>3</v>
      </c>
      <c r="M22" s="101"/>
      <c r="N22" s="101">
        <v>200</v>
      </c>
      <c r="O22" s="102">
        <v>3000</v>
      </c>
      <c r="P22" s="108">
        <v>0.01</v>
      </c>
      <c r="Q22" s="103">
        <v>300</v>
      </c>
      <c r="R22" s="108">
        <v>0.08</v>
      </c>
      <c r="S22" s="190">
        <v>44927</v>
      </c>
      <c r="T22" s="244">
        <v>62982</v>
      </c>
      <c r="U22" s="244">
        <v>28742</v>
      </c>
      <c r="V22" s="115">
        <v>45078.043252314812</v>
      </c>
      <c r="W22" s="246">
        <v>71365</v>
      </c>
      <c r="X22" s="246">
        <v>33612</v>
      </c>
      <c r="Y22" s="126">
        <f t="shared" si="2"/>
        <v>4.9652614173179481</v>
      </c>
      <c r="Z22" s="30">
        <f t="shared" si="3"/>
        <v>8383</v>
      </c>
      <c r="AA22" s="30">
        <f t="shared" si="3"/>
        <v>4870</v>
      </c>
      <c r="AB22" s="85">
        <f t="shared" si="4"/>
        <v>1688.3300385275966</v>
      </c>
      <c r="AC22" s="85">
        <f t="shared" si="5"/>
        <v>980.81442056893661</v>
      </c>
      <c r="AD22" s="32">
        <f t="shared" si="6"/>
        <v>688.33003852759657</v>
      </c>
      <c r="AE22" s="32">
        <f t="shared" si="7"/>
        <v>880.81442056893661</v>
      </c>
      <c r="AF22" s="94">
        <f t="shared" si="8"/>
        <v>3417.7385826820519</v>
      </c>
      <c r="AG22" s="94">
        <f t="shared" si="9"/>
        <v>4373.4738582682057</v>
      </c>
      <c r="AH22" s="86">
        <f t="shared" si="10"/>
        <v>34.177385826820519</v>
      </c>
      <c r="AI22" s="86">
        <f t="shared" si="11"/>
        <v>349.87790866145644</v>
      </c>
      <c r="AJ22" s="91">
        <f t="shared" si="13"/>
        <v>3.5682499999999999</v>
      </c>
      <c r="AK22" s="91">
        <f t="shared" si="13"/>
        <v>2.8010000000000002</v>
      </c>
      <c r="AL22" s="173">
        <v>20000</v>
      </c>
      <c r="AM22" s="173">
        <v>12000</v>
      </c>
      <c r="AN22" s="250">
        <v>8511</v>
      </c>
      <c r="AO22" s="215">
        <v>6</v>
      </c>
      <c r="AP22" s="215">
        <v>3</v>
      </c>
      <c r="AQ22" s="188">
        <v>45124</v>
      </c>
      <c r="AR22" s="7" t="s">
        <v>322</v>
      </c>
      <c r="AS22" s="125" t="s">
        <v>323</v>
      </c>
      <c r="AT22" s="35"/>
    </row>
    <row r="23" spans="2:47" x14ac:dyDescent="0.25">
      <c r="B23" s="214" t="s">
        <v>177</v>
      </c>
      <c r="C23" s="174" t="s">
        <v>151</v>
      </c>
      <c r="D23" s="38" t="s">
        <v>124</v>
      </c>
      <c r="E23" s="218"/>
      <c r="F23" s="38" t="s">
        <v>247</v>
      </c>
      <c r="G23" s="38"/>
      <c r="H23" s="80">
        <v>44317</v>
      </c>
      <c r="I23" s="181">
        <f t="shared" si="14"/>
        <v>99</v>
      </c>
      <c r="J23" s="183">
        <f t="shared" si="15"/>
        <v>9.9000000000000005E-2</v>
      </c>
      <c r="K23" s="99">
        <v>45778</v>
      </c>
      <c r="L23" s="100">
        <v>1</v>
      </c>
      <c r="M23" s="101">
        <v>99</v>
      </c>
      <c r="N23" s="101"/>
      <c r="O23" s="102">
        <v>1000</v>
      </c>
      <c r="P23" s="108">
        <v>0.01</v>
      </c>
      <c r="Q23" s="103">
        <v>100</v>
      </c>
      <c r="R23" s="108">
        <v>0.08</v>
      </c>
      <c r="S23" s="190">
        <v>44929</v>
      </c>
      <c r="T23" s="244">
        <v>33100</v>
      </c>
      <c r="U23" s="244">
        <v>10190</v>
      </c>
      <c r="V23" s="115">
        <v>45078.00204861111</v>
      </c>
      <c r="W23" s="246">
        <v>39047</v>
      </c>
      <c r="X23" s="246">
        <v>12348</v>
      </c>
      <c r="Y23" s="126">
        <f t="shared" si="2"/>
        <v>4.8981607038497623</v>
      </c>
      <c r="Z23" s="30">
        <f t="shared" si="3"/>
        <v>5947</v>
      </c>
      <c r="AA23" s="30">
        <f t="shared" si="3"/>
        <v>2158</v>
      </c>
      <c r="AB23" s="85">
        <f t="shared" si="4"/>
        <v>1214.1292128953407</v>
      </c>
      <c r="AC23" s="85">
        <f t="shared" si="5"/>
        <v>440.57353983994369</v>
      </c>
      <c r="AD23" s="32">
        <f t="shared" si="6"/>
        <v>214.12921289534074</v>
      </c>
      <c r="AE23" s="32">
        <f t="shared" si="7"/>
        <v>340.57353983994369</v>
      </c>
      <c r="AF23" s="94">
        <f t="shared" si="8"/>
        <v>1048.8392961502377</v>
      </c>
      <c r="AG23" s="94">
        <f t="shared" si="9"/>
        <v>1668.1839296150238</v>
      </c>
      <c r="AH23" s="86">
        <f t="shared" si="10"/>
        <v>10.488392961502377</v>
      </c>
      <c r="AI23" s="86">
        <f t="shared" si="11"/>
        <v>133.45471436920189</v>
      </c>
      <c r="AJ23" s="91">
        <f t="shared" si="13"/>
        <v>1.95235</v>
      </c>
      <c r="AK23" s="91">
        <f t="shared" si="13"/>
        <v>1.0289999999999999</v>
      </c>
      <c r="AL23" s="173">
        <v>20000</v>
      </c>
      <c r="AM23" s="173">
        <v>12000</v>
      </c>
      <c r="AN23" s="250">
        <v>8511</v>
      </c>
      <c r="AO23" s="215">
        <v>4</v>
      </c>
      <c r="AP23" s="215">
        <v>3</v>
      </c>
      <c r="AQ23" s="188">
        <v>45124</v>
      </c>
      <c r="AR23" s="7" t="s">
        <v>324</v>
      </c>
      <c r="AS23" s="7">
        <v>0</v>
      </c>
      <c r="AT23" s="35"/>
    </row>
    <row r="24" spans="2:47" x14ac:dyDescent="0.25">
      <c r="B24" s="214" t="s">
        <v>288</v>
      </c>
      <c r="C24" s="174" t="s">
        <v>283</v>
      </c>
      <c r="D24" s="38" t="s">
        <v>125</v>
      </c>
      <c r="E24" s="219" t="s">
        <v>138</v>
      </c>
      <c r="F24" s="38" t="s">
        <v>285</v>
      </c>
      <c r="G24" s="38"/>
      <c r="H24" s="80">
        <v>44971</v>
      </c>
      <c r="I24" s="181">
        <f t="shared" si="14"/>
        <v>345</v>
      </c>
      <c r="J24" s="183">
        <f t="shared" si="15"/>
        <v>1.15E-2</v>
      </c>
      <c r="K24" s="99">
        <v>46067</v>
      </c>
      <c r="L24" s="100">
        <v>1</v>
      </c>
      <c r="M24" s="178">
        <v>345</v>
      </c>
      <c r="N24" s="178"/>
      <c r="O24" s="175">
        <v>30000</v>
      </c>
      <c r="P24" s="108">
        <v>0.01</v>
      </c>
      <c r="Q24" s="166"/>
      <c r="R24" s="166"/>
      <c r="S24" s="252">
        <v>45066</v>
      </c>
      <c r="T24" s="266">
        <v>101728</v>
      </c>
      <c r="U24" s="266"/>
      <c r="V24" s="252"/>
      <c r="W24" s="266"/>
      <c r="X24" s="266"/>
      <c r="Y24" s="126">
        <f t="shared" si="2"/>
        <v>-1481.4595660749505</v>
      </c>
      <c r="Z24" s="30">
        <f t="shared" si="3"/>
        <v>-101728</v>
      </c>
      <c r="AA24" s="30">
        <f t="shared" si="3"/>
        <v>0</v>
      </c>
      <c r="AB24" s="85">
        <f t="shared" si="4"/>
        <v>68.667415790174417</v>
      </c>
      <c r="AC24" s="85">
        <f t="shared" si="5"/>
        <v>0</v>
      </c>
      <c r="AD24" s="32">
        <f t="shared" si="6"/>
        <v>-29931.332584209824</v>
      </c>
      <c r="AE24" s="32">
        <f t="shared" si="7"/>
        <v>0</v>
      </c>
      <c r="AF24" s="94">
        <f t="shared" si="8"/>
        <v>44342058.982248515</v>
      </c>
      <c r="AG24" s="94">
        <f t="shared" si="9"/>
        <v>0</v>
      </c>
      <c r="AH24" s="86">
        <f t="shared" si="10"/>
        <v>443420.58982248517</v>
      </c>
      <c r="AI24" s="86">
        <f t="shared" si="11"/>
        <v>0</v>
      </c>
      <c r="AJ24" s="91">
        <f t="shared" si="13"/>
        <v>0</v>
      </c>
      <c r="AK24" s="165"/>
      <c r="AL24" s="173">
        <v>30000</v>
      </c>
      <c r="AM24" s="251"/>
      <c r="AN24" s="250">
        <v>3012</v>
      </c>
      <c r="AO24" s="215"/>
      <c r="AP24" s="177"/>
      <c r="AQ24" s="188">
        <v>45124</v>
      </c>
      <c r="AR24" s="53" t="s">
        <v>325</v>
      </c>
      <c r="AS24" s="53" t="s">
        <v>326</v>
      </c>
    </row>
    <row r="25" spans="2:47" x14ac:dyDescent="0.25">
      <c r="B25" s="7" t="s">
        <v>327</v>
      </c>
      <c r="C25" s="174" t="s">
        <v>283</v>
      </c>
      <c r="D25" s="192" t="s">
        <v>328</v>
      </c>
      <c r="E25" s="270"/>
      <c r="F25" s="125" t="s">
        <v>329</v>
      </c>
      <c r="G25" s="38"/>
      <c r="H25" s="80">
        <v>44971</v>
      </c>
      <c r="I25" s="181">
        <f t="shared" si="14"/>
        <v>230</v>
      </c>
      <c r="J25" s="183">
        <f t="shared" si="15"/>
        <v>0.23</v>
      </c>
      <c r="K25" s="99">
        <v>46432</v>
      </c>
      <c r="L25" s="100">
        <v>1</v>
      </c>
      <c r="M25" s="271">
        <v>230</v>
      </c>
      <c r="N25" s="271"/>
      <c r="O25" s="272">
        <v>1000</v>
      </c>
      <c r="P25" s="125">
        <v>0.01</v>
      </c>
      <c r="Q25" s="53">
        <v>1500</v>
      </c>
      <c r="R25" s="125">
        <v>0.08</v>
      </c>
      <c r="S25" s="252">
        <v>45112</v>
      </c>
      <c r="T25" s="266">
        <v>17708</v>
      </c>
      <c r="U25" s="266">
        <v>4099</v>
      </c>
      <c r="V25" s="252"/>
      <c r="W25" s="266"/>
      <c r="X25" s="266"/>
      <c r="Y25" s="126">
        <f t="shared" si="2"/>
        <v>-1482.9717291255752</v>
      </c>
      <c r="Z25" s="30">
        <f t="shared" si="3"/>
        <v>-17708</v>
      </c>
      <c r="AA25" s="30">
        <f t="shared" si="3"/>
        <v>-4099</v>
      </c>
      <c r="AB25" s="85">
        <f t="shared" si="4"/>
        <v>11.940888455399895</v>
      </c>
      <c r="AC25" s="85">
        <f t="shared" si="5"/>
        <v>2.7640446001064021</v>
      </c>
      <c r="AD25" s="32">
        <f t="shared" si="6"/>
        <v>-988.05911154460011</v>
      </c>
      <c r="AE25" s="32">
        <f t="shared" si="7"/>
        <v>-1497.2359553998936</v>
      </c>
      <c r="AF25" s="94">
        <f t="shared" si="8"/>
        <v>1465263.7291255752</v>
      </c>
      <c r="AG25" s="94">
        <f t="shared" si="9"/>
        <v>2220358.5936883627</v>
      </c>
      <c r="AH25" s="86">
        <f t="shared" si="10"/>
        <v>14652.637291255753</v>
      </c>
      <c r="AI25" s="86">
        <f t="shared" si="11"/>
        <v>177628.68749506903</v>
      </c>
      <c r="AJ25" s="91">
        <f t="shared" si="13"/>
        <v>0</v>
      </c>
      <c r="AK25" s="91">
        <f t="shared" si="13"/>
        <v>0</v>
      </c>
      <c r="AL25" s="173">
        <v>20000</v>
      </c>
      <c r="AM25" s="173">
        <v>12000</v>
      </c>
      <c r="AN25" s="250">
        <v>8511</v>
      </c>
      <c r="AO25" s="215"/>
      <c r="AP25" s="215"/>
      <c r="AQ25" s="188">
        <v>45124</v>
      </c>
      <c r="AR25" s="53" t="s">
        <v>325</v>
      </c>
      <c r="AS25" s="53" t="s">
        <v>326</v>
      </c>
    </row>
    <row r="26" spans="2:47" x14ac:dyDescent="0.25">
      <c r="B26" s="7" t="s">
        <v>209</v>
      </c>
      <c r="C26" s="174" t="s">
        <v>4</v>
      </c>
      <c r="D26" s="38" t="s">
        <v>194</v>
      </c>
      <c r="E26" s="218"/>
      <c r="F26" s="38" t="s">
        <v>248</v>
      </c>
      <c r="G26" s="38"/>
      <c r="H26" s="80">
        <v>44747</v>
      </c>
      <c r="I26" s="181">
        <f t="shared" si="14"/>
        <v>130</v>
      </c>
      <c r="J26" s="183">
        <f t="shared" si="15"/>
        <v>7.8E-2</v>
      </c>
      <c r="K26" s="99">
        <v>46208</v>
      </c>
      <c r="L26" s="100">
        <v>3</v>
      </c>
      <c r="M26" s="101"/>
      <c r="N26" s="101">
        <v>390</v>
      </c>
      <c r="O26" s="267">
        <v>5000</v>
      </c>
      <c r="P26" s="268">
        <v>0.01</v>
      </c>
      <c r="Q26" s="103">
        <v>500</v>
      </c>
      <c r="R26" s="108">
        <v>0.08</v>
      </c>
      <c r="S26" s="190">
        <v>44898</v>
      </c>
      <c r="T26" s="244">
        <v>7744</v>
      </c>
      <c r="U26" s="244">
        <v>948</v>
      </c>
      <c r="V26" s="115">
        <v>45097.001712962963</v>
      </c>
      <c r="W26" s="246">
        <v>16378</v>
      </c>
      <c r="X26" s="246">
        <v>1866</v>
      </c>
      <c r="Y26" s="126">
        <f t="shared" si="2"/>
        <v>6.541805159860723</v>
      </c>
      <c r="Z26" s="30">
        <f t="shared" si="3"/>
        <v>8634</v>
      </c>
      <c r="AA26" s="30">
        <f t="shared" si="3"/>
        <v>918</v>
      </c>
      <c r="AB26" s="85">
        <f t="shared" si="4"/>
        <v>1319.8191919527944</v>
      </c>
      <c r="AC26" s="85">
        <f t="shared" si="5"/>
        <v>140.32823931117272</v>
      </c>
      <c r="AD26" s="32">
        <f t="shared" si="6"/>
        <v>-346.84747471387232</v>
      </c>
      <c r="AE26" s="32">
        <f t="shared" si="7"/>
        <v>-26.338427355493934</v>
      </c>
      <c r="AF26" s="94">
        <f t="shared" si="8"/>
        <v>-2269.0085997678716</v>
      </c>
      <c r="AG26" s="94">
        <f t="shared" si="9"/>
        <v>-172.30085997678702</v>
      </c>
      <c r="AH26" s="86">
        <f t="shared" si="10"/>
        <v>-22.690085997678718</v>
      </c>
      <c r="AI26" s="86">
        <f t="shared" si="11"/>
        <v>-13.784068798142963</v>
      </c>
      <c r="AJ26" s="91">
        <f t="shared" si="13"/>
        <v>0.81889999999999996</v>
      </c>
      <c r="AK26" s="91">
        <f t="shared" si="13"/>
        <v>0.1555</v>
      </c>
      <c r="AL26" s="173">
        <v>20000</v>
      </c>
      <c r="AM26" s="173">
        <v>12000</v>
      </c>
      <c r="AN26" s="250">
        <v>8531</v>
      </c>
      <c r="AO26" s="215">
        <v>2</v>
      </c>
      <c r="AP26" s="215">
        <v>1</v>
      </c>
      <c r="AQ26" s="188">
        <v>45124</v>
      </c>
      <c r="AR26" s="7" t="s">
        <v>330</v>
      </c>
      <c r="AS26" s="125" t="s">
        <v>331</v>
      </c>
      <c r="AT26" s="35"/>
    </row>
    <row r="27" spans="2:47" x14ac:dyDescent="0.25">
      <c r="B27" s="214" t="s">
        <v>166</v>
      </c>
      <c r="C27" s="174" t="s">
        <v>145</v>
      </c>
      <c r="D27" s="38" t="s">
        <v>124</v>
      </c>
      <c r="E27" s="218"/>
      <c r="F27" s="38" t="s">
        <v>249</v>
      </c>
      <c r="G27" s="38"/>
      <c r="H27" s="80">
        <v>44151</v>
      </c>
      <c r="I27" s="181">
        <f t="shared" si="14"/>
        <v>66.666666666666671</v>
      </c>
      <c r="J27" s="183">
        <f t="shared" si="15"/>
        <v>6.6666666666666666E-2</v>
      </c>
      <c r="K27" s="99">
        <v>45977</v>
      </c>
      <c r="L27" s="100">
        <v>3</v>
      </c>
      <c r="M27" s="101"/>
      <c r="N27" s="101">
        <v>200</v>
      </c>
      <c r="O27" s="102">
        <v>3000</v>
      </c>
      <c r="P27" s="108">
        <v>0.01</v>
      </c>
      <c r="Q27" s="103">
        <v>300</v>
      </c>
      <c r="R27" s="108">
        <v>0.08</v>
      </c>
      <c r="S27" s="190">
        <v>44927</v>
      </c>
      <c r="T27" s="244">
        <v>30105</v>
      </c>
      <c r="U27" s="244">
        <v>34528</v>
      </c>
      <c r="V27" s="115">
        <v>45078.04351851852</v>
      </c>
      <c r="W27" s="246">
        <v>39920</v>
      </c>
      <c r="X27" s="246">
        <v>42772</v>
      </c>
      <c r="Y27" s="126">
        <f t="shared" si="2"/>
        <v>4.96527016826166</v>
      </c>
      <c r="Z27" s="30">
        <f t="shared" si="3"/>
        <v>9815</v>
      </c>
      <c r="AA27" s="30">
        <f t="shared" si="3"/>
        <v>8244</v>
      </c>
      <c r="AB27" s="85">
        <f t="shared" si="4"/>
        <v>1976.7303021571995</v>
      </c>
      <c r="AC27" s="85">
        <f t="shared" si="5"/>
        <v>1660.3326144660166</v>
      </c>
      <c r="AD27" s="32">
        <f t="shared" si="6"/>
        <v>976.7303021571995</v>
      </c>
      <c r="AE27" s="32">
        <f t="shared" si="7"/>
        <v>1560.3326144660166</v>
      </c>
      <c r="AF27" s="94">
        <f t="shared" si="8"/>
        <v>4849.7298317383402</v>
      </c>
      <c r="AG27" s="94">
        <f t="shared" si="9"/>
        <v>7747.4729831738341</v>
      </c>
      <c r="AH27" s="86">
        <f t="shared" si="10"/>
        <v>48.497298317383404</v>
      </c>
      <c r="AI27" s="86">
        <f t="shared" si="11"/>
        <v>619.79783865390675</v>
      </c>
      <c r="AJ27" s="91">
        <f t="shared" si="13"/>
        <v>1.996</v>
      </c>
      <c r="AK27" s="91">
        <f t="shared" si="13"/>
        <v>3.5643333333333334</v>
      </c>
      <c r="AL27" s="173">
        <v>20000</v>
      </c>
      <c r="AM27" s="173">
        <v>12000</v>
      </c>
      <c r="AN27" s="250">
        <v>8511</v>
      </c>
      <c r="AO27" s="215">
        <v>5</v>
      </c>
      <c r="AP27" s="215">
        <v>3</v>
      </c>
      <c r="AQ27" s="188">
        <v>45124</v>
      </c>
      <c r="AR27" s="7" t="s">
        <v>332</v>
      </c>
      <c r="AS27" s="53" t="s">
        <v>333</v>
      </c>
      <c r="AT27" s="35"/>
    </row>
    <row r="28" spans="2:47" x14ac:dyDescent="0.25">
      <c r="B28" s="214" t="s">
        <v>159</v>
      </c>
      <c r="C28" s="174" t="s">
        <v>146</v>
      </c>
      <c r="D28" s="38" t="s">
        <v>13</v>
      </c>
      <c r="E28" s="218"/>
      <c r="F28" s="38" t="s">
        <v>250</v>
      </c>
      <c r="G28" s="38"/>
      <c r="H28" s="80">
        <v>43223</v>
      </c>
      <c r="I28" s="181">
        <f t="shared" si="14"/>
        <v>66.666666666666671</v>
      </c>
      <c r="J28" s="183">
        <f t="shared" si="15"/>
        <v>6.6666666666666666E-2</v>
      </c>
      <c r="K28" s="99">
        <v>45291</v>
      </c>
      <c r="L28" s="100">
        <v>3</v>
      </c>
      <c r="M28" s="101"/>
      <c r="N28" s="101">
        <v>200</v>
      </c>
      <c r="O28" s="102">
        <v>3000</v>
      </c>
      <c r="P28" s="108">
        <v>0.01</v>
      </c>
      <c r="Q28" s="103">
        <v>300</v>
      </c>
      <c r="R28" s="108">
        <v>0.08</v>
      </c>
      <c r="S28" s="190">
        <v>44928</v>
      </c>
      <c r="T28" s="244">
        <v>23583</v>
      </c>
      <c r="U28" s="244">
        <v>16299</v>
      </c>
      <c r="V28" s="115">
        <v>45096.291250000002</v>
      </c>
      <c r="W28" s="246">
        <v>24947</v>
      </c>
      <c r="X28" s="246">
        <v>17043</v>
      </c>
      <c r="Y28" s="126">
        <f t="shared" si="2"/>
        <v>5.5322567389875745</v>
      </c>
      <c r="Z28" s="30">
        <f t="shared" si="3"/>
        <v>1364</v>
      </c>
      <c r="AA28" s="30">
        <f t="shared" si="3"/>
        <v>744</v>
      </c>
      <c r="AB28" s="85">
        <f t="shared" si="4"/>
        <v>246.5539949343742</v>
      </c>
      <c r="AC28" s="85">
        <f t="shared" si="5"/>
        <v>134.48399723693137</v>
      </c>
      <c r="AD28" s="32">
        <f t="shared" si="6"/>
        <v>-753.44600506562574</v>
      </c>
      <c r="AE28" s="32">
        <f t="shared" si="7"/>
        <v>34.483997236931373</v>
      </c>
      <c r="AF28" s="94">
        <f t="shared" si="8"/>
        <v>-4168.256738987574</v>
      </c>
      <c r="AG28" s="94">
        <f t="shared" si="9"/>
        <v>190.77432610124248</v>
      </c>
      <c r="AH28" s="86">
        <f t="shared" si="10"/>
        <v>-41.682567389875743</v>
      </c>
      <c r="AI28" s="86">
        <f t="shared" si="11"/>
        <v>15.261946088099398</v>
      </c>
      <c r="AJ28" s="91">
        <f t="shared" si="13"/>
        <v>1.24735</v>
      </c>
      <c r="AK28" s="91">
        <f t="shared" si="13"/>
        <v>1.42025</v>
      </c>
      <c r="AL28" s="173">
        <v>20000</v>
      </c>
      <c r="AM28" s="173">
        <v>12000</v>
      </c>
      <c r="AN28" s="250">
        <v>8511</v>
      </c>
      <c r="AO28" s="215">
        <v>5</v>
      </c>
      <c r="AP28" s="215">
        <v>3</v>
      </c>
      <c r="AQ28" s="188">
        <v>45124</v>
      </c>
      <c r="AR28" s="7" t="s">
        <v>334</v>
      </c>
      <c r="AS28">
        <v>0</v>
      </c>
      <c r="AT28" s="35"/>
    </row>
    <row r="29" spans="2:47" x14ac:dyDescent="0.25">
      <c r="B29" s="96"/>
      <c r="C29" s="174" t="s">
        <v>87</v>
      </c>
      <c r="D29" s="38" t="s">
        <v>13</v>
      </c>
      <c r="E29" s="218"/>
      <c r="F29" s="249"/>
      <c r="G29" s="38"/>
      <c r="H29" s="80">
        <v>43418</v>
      </c>
      <c r="I29" s="181">
        <f t="shared" si="14"/>
        <v>66.666666666666671</v>
      </c>
      <c r="J29" s="183">
        <f t="shared" si="15"/>
        <v>6.6666666666666666E-2</v>
      </c>
      <c r="K29" s="273">
        <v>45231</v>
      </c>
      <c r="L29" s="100">
        <v>3</v>
      </c>
      <c r="M29" s="101"/>
      <c r="N29" s="101">
        <v>200</v>
      </c>
      <c r="O29" s="267">
        <v>3000</v>
      </c>
      <c r="P29" s="108">
        <v>0.01</v>
      </c>
      <c r="Q29" s="103">
        <v>300</v>
      </c>
      <c r="R29" s="108">
        <v>0.08</v>
      </c>
      <c r="S29" s="190">
        <v>44985</v>
      </c>
      <c r="T29" s="244">
        <v>102759</v>
      </c>
      <c r="U29" s="244">
        <v>79981</v>
      </c>
      <c r="V29" s="252">
        <v>45133</v>
      </c>
      <c r="W29" s="266">
        <v>124419</v>
      </c>
      <c r="X29" s="266">
        <v>94983</v>
      </c>
      <c r="Y29" s="126">
        <f t="shared" si="2"/>
        <v>4.8652202498356338</v>
      </c>
      <c r="Z29" s="30">
        <f t="shared" si="3"/>
        <v>21660</v>
      </c>
      <c r="AA29" s="30">
        <f t="shared" si="3"/>
        <v>15002</v>
      </c>
      <c r="AB29" s="85">
        <f t="shared" si="4"/>
        <v>4452.0081081081089</v>
      </c>
      <c r="AC29" s="85">
        <f t="shared" si="5"/>
        <v>3083.5191891891895</v>
      </c>
      <c r="AD29" s="32">
        <f t="shared" si="6"/>
        <v>3452.0081081081089</v>
      </c>
      <c r="AE29" s="32">
        <f t="shared" si="7"/>
        <v>2983.5191891891895</v>
      </c>
      <c r="AF29" s="94">
        <f t="shared" si="8"/>
        <v>16794.779750164369</v>
      </c>
      <c r="AG29" s="94">
        <f t="shared" si="9"/>
        <v>14515.477975016436</v>
      </c>
      <c r="AH29" s="86">
        <f t="shared" si="10"/>
        <v>167.94779750164369</v>
      </c>
      <c r="AI29" s="86">
        <f t="shared" si="11"/>
        <v>1161.2382380013148</v>
      </c>
      <c r="AJ29" s="91">
        <f t="shared" si="13"/>
        <v>6.2209500000000002</v>
      </c>
      <c r="AK29" s="91">
        <f t="shared" si="13"/>
        <v>7.9152500000000003</v>
      </c>
      <c r="AL29" s="173">
        <v>20000</v>
      </c>
      <c r="AM29" s="173">
        <v>12000</v>
      </c>
      <c r="AN29" s="250">
        <v>8511</v>
      </c>
      <c r="AO29" s="215">
        <v>18</v>
      </c>
      <c r="AP29" s="215">
        <v>13</v>
      </c>
      <c r="AQ29" s="274"/>
      <c r="AR29" s="179" t="s">
        <v>220</v>
      </c>
      <c r="AS29">
        <v>0</v>
      </c>
      <c r="AT29" s="35"/>
    </row>
    <row r="30" spans="2:47" x14ac:dyDescent="0.25">
      <c r="B30" s="7" t="s">
        <v>168</v>
      </c>
      <c r="C30" s="174" t="s">
        <v>15</v>
      </c>
      <c r="D30" s="38" t="s">
        <v>148</v>
      </c>
      <c r="E30" s="218"/>
      <c r="F30" s="38" t="s">
        <v>252</v>
      </c>
      <c r="G30" s="38" t="s">
        <v>277</v>
      </c>
      <c r="H30" s="80">
        <v>44187</v>
      </c>
      <c r="I30" s="181">
        <f t="shared" si="14"/>
        <v>120</v>
      </c>
      <c r="J30" s="183">
        <f t="shared" si="15"/>
        <v>7.1999999999999995E-2</v>
      </c>
      <c r="K30" s="99">
        <v>45648</v>
      </c>
      <c r="L30" s="100">
        <v>3</v>
      </c>
      <c r="M30" s="101"/>
      <c r="N30" s="101">
        <v>360</v>
      </c>
      <c r="O30" s="267">
        <v>5000</v>
      </c>
      <c r="P30" s="275">
        <v>8.9999999999999993E-3</v>
      </c>
      <c r="Q30" s="276">
        <v>500</v>
      </c>
      <c r="R30" s="185">
        <v>8.1000000000000003E-2</v>
      </c>
      <c r="S30" s="190">
        <v>44927</v>
      </c>
      <c r="T30" s="244">
        <v>99843</v>
      </c>
      <c r="U30" s="244">
        <v>62959</v>
      </c>
      <c r="V30" s="115">
        <v>45098.46234953704</v>
      </c>
      <c r="W30" s="246">
        <v>116810</v>
      </c>
      <c r="X30" s="246">
        <v>82616</v>
      </c>
      <c r="Y30" s="126">
        <f t="shared" si="2"/>
        <v>5.6365006422432504</v>
      </c>
      <c r="Z30" s="30">
        <f t="shared" si="3"/>
        <v>16967</v>
      </c>
      <c r="AA30" s="30">
        <f t="shared" si="3"/>
        <v>19657</v>
      </c>
      <c r="AB30" s="85">
        <f t="shared" si="4"/>
        <v>3010.2010231027607</v>
      </c>
      <c r="AC30" s="85">
        <f t="shared" si="5"/>
        <v>3487.4474869529654</v>
      </c>
      <c r="AD30" s="32">
        <f t="shared" si="6"/>
        <v>1343.534356436094</v>
      </c>
      <c r="AE30" s="32">
        <f t="shared" si="7"/>
        <v>3320.7808202862989</v>
      </c>
      <c r="AF30" s="94">
        <f t="shared" si="8"/>
        <v>7572.8322629279155</v>
      </c>
      <c r="AG30" s="94">
        <f t="shared" si="9"/>
        <v>18717.583226292791</v>
      </c>
      <c r="AH30" s="86">
        <f t="shared" si="10"/>
        <v>68.155490366351231</v>
      </c>
      <c r="AI30" s="86">
        <f t="shared" si="11"/>
        <v>1516.1242413297161</v>
      </c>
      <c r="AJ30" s="91">
        <f t="shared" ref="AJ30:AK56" si="16">W30/AL30</f>
        <v>3.8936666666666668</v>
      </c>
      <c r="AK30" s="91">
        <f t="shared" si="16"/>
        <v>4.1307999999999998</v>
      </c>
      <c r="AL30" s="173">
        <v>30000</v>
      </c>
      <c r="AM30" s="173">
        <v>20000</v>
      </c>
      <c r="AN30" s="250">
        <v>8514</v>
      </c>
      <c r="AO30" s="215">
        <v>8</v>
      </c>
      <c r="AP30" s="215">
        <v>2</v>
      </c>
      <c r="AQ30" s="188">
        <v>45124</v>
      </c>
      <c r="AR30" s="7" t="s">
        <v>335</v>
      </c>
      <c r="AS30">
        <v>0</v>
      </c>
      <c r="AT30" s="35"/>
    </row>
    <row r="31" spans="2:47" x14ac:dyDescent="0.25">
      <c r="B31" s="7" t="s">
        <v>193</v>
      </c>
      <c r="C31" s="174" t="s">
        <v>15</v>
      </c>
      <c r="D31" s="38" t="s">
        <v>194</v>
      </c>
      <c r="E31" s="218"/>
      <c r="F31" s="38" t="s">
        <v>195</v>
      </c>
      <c r="G31" s="38" t="s">
        <v>278</v>
      </c>
      <c r="H31" s="80">
        <v>44635</v>
      </c>
      <c r="I31" s="181">
        <f t="shared" si="14"/>
        <v>130</v>
      </c>
      <c r="J31" s="183">
        <f t="shared" si="15"/>
        <v>7.8E-2</v>
      </c>
      <c r="K31" s="99">
        <v>46096</v>
      </c>
      <c r="L31" s="100">
        <v>3</v>
      </c>
      <c r="M31" s="101"/>
      <c r="N31" s="101">
        <v>390</v>
      </c>
      <c r="O31" s="267">
        <v>5000</v>
      </c>
      <c r="P31" s="275">
        <v>8.9999999999999993E-3</v>
      </c>
      <c r="Q31" s="103">
        <v>500</v>
      </c>
      <c r="R31" s="185">
        <v>8.1000000000000003E-2</v>
      </c>
      <c r="S31" s="190">
        <v>44927</v>
      </c>
      <c r="T31" s="244">
        <v>8738</v>
      </c>
      <c r="U31" s="244">
        <v>4788</v>
      </c>
      <c r="V31" s="115">
        <v>45097.509837962964</v>
      </c>
      <c r="W31" s="246">
        <v>14117</v>
      </c>
      <c r="X31" s="246">
        <v>8429</v>
      </c>
      <c r="Y31" s="126">
        <f t="shared" si="2"/>
        <v>5.6051886246865052</v>
      </c>
      <c r="Z31" s="30">
        <f t="shared" si="3"/>
        <v>5379</v>
      </c>
      <c r="AA31" s="30">
        <f t="shared" si="3"/>
        <v>3641</v>
      </c>
      <c r="AB31" s="85">
        <f t="shared" si="4"/>
        <v>959.64656324136536</v>
      </c>
      <c r="AC31" s="85">
        <f t="shared" si="5"/>
        <v>649.57671254170134</v>
      </c>
      <c r="AD31" s="32">
        <f t="shared" si="6"/>
        <v>-707.02010342530139</v>
      </c>
      <c r="AE31" s="32">
        <f t="shared" si="7"/>
        <v>482.91004587503471</v>
      </c>
      <c r="AF31" s="94">
        <f t="shared" si="8"/>
        <v>-3962.9810411441758</v>
      </c>
      <c r="AG31" s="94">
        <f t="shared" si="9"/>
        <v>2706.8018958855828</v>
      </c>
      <c r="AH31" s="86">
        <f t="shared" si="10"/>
        <v>-35.666829370297577</v>
      </c>
      <c r="AI31" s="86">
        <f t="shared" si="11"/>
        <v>219.25095356673222</v>
      </c>
      <c r="AJ31" s="91">
        <f t="shared" si="16"/>
        <v>0.70584999999999998</v>
      </c>
      <c r="AK31" s="91">
        <f t="shared" si="16"/>
        <v>0.70241666666666669</v>
      </c>
      <c r="AL31" s="173">
        <v>20000</v>
      </c>
      <c r="AM31" s="173">
        <v>12000</v>
      </c>
      <c r="AN31" s="250">
        <v>8531</v>
      </c>
      <c r="AO31" s="215">
        <v>4</v>
      </c>
      <c r="AP31" s="215">
        <v>1</v>
      </c>
      <c r="AQ31" s="188">
        <v>45124</v>
      </c>
      <c r="AR31" s="7" t="s">
        <v>336</v>
      </c>
      <c r="AS31">
        <v>0</v>
      </c>
      <c r="AT31" s="35"/>
    </row>
    <row r="32" spans="2:47" x14ac:dyDescent="0.25">
      <c r="B32" s="7" t="s">
        <v>251</v>
      </c>
      <c r="C32" s="174" t="s">
        <v>15</v>
      </c>
      <c r="D32" s="38" t="s">
        <v>194</v>
      </c>
      <c r="E32" s="218"/>
      <c r="F32" s="38" t="s">
        <v>214</v>
      </c>
      <c r="G32" s="38" t="s">
        <v>279</v>
      </c>
      <c r="H32" s="80">
        <v>44804</v>
      </c>
      <c r="I32" s="181">
        <f t="shared" si="14"/>
        <v>130</v>
      </c>
      <c r="J32" s="183">
        <f t="shared" si="15"/>
        <v>7.8E-2</v>
      </c>
      <c r="K32" s="99">
        <v>46265</v>
      </c>
      <c r="L32" s="100">
        <v>3</v>
      </c>
      <c r="M32" s="101"/>
      <c r="N32" s="101">
        <v>390</v>
      </c>
      <c r="O32" s="267">
        <v>5000</v>
      </c>
      <c r="P32" s="268">
        <v>0.01</v>
      </c>
      <c r="Q32" s="103">
        <v>500</v>
      </c>
      <c r="R32" s="108">
        <v>0.08</v>
      </c>
      <c r="S32" s="190">
        <v>44949</v>
      </c>
      <c r="T32" s="244">
        <v>19368</v>
      </c>
      <c r="U32" s="244">
        <v>2267</v>
      </c>
      <c r="V32" s="115">
        <v>45097.001770833333</v>
      </c>
      <c r="W32" s="246">
        <v>35411</v>
      </c>
      <c r="X32" s="246">
        <v>4601</v>
      </c>
      <c r="Y32" s="126">
        <f t="shared" si="2"/>
        <v>4.8652784626342065</v>
      </c>
      <c r="Z32" s="30">
        <f t="shared" si="3"/>
        <v>16043</v>
      </c>
      <c r="AA32" s="30">
        <f t="shared" si="3"/>
        <v>2334</v>
      </c>
      <c r="AB32" s="85">
        <f t="shared" si="4"/>
        <v>3297.4474376362505</v>
      </c>
      <c r="AC32" s="85">
        <f t="shared" si="5"/>
        <v>479.72588165823151</v>
      </c>
      <c r="AD32" s="32">
        <f t="shared" si="6"/>
        <v>1630.7807709695837</v>
      </c>
      <c r="AE32" s="32">
        <f t="shared" si="7"/>
        <v>313.05921499156489</v>
      </c>
      <c r="AF32" s="94">
        <f t="shared" si="8"/>
        <v>7934.2025622763222</v>
      </c>
      <c r="AG32" s="94">
        <f t="shared" si="9"/>
        <v>1523.1202562276324</v>
      </c>
      <c r="AH32" s="86">
        <f t="shared" si="10"/>
        <v>79.342025622763217</v>
      </c>
      <c r="AI32" s="86">
        <f t="shared" si="11"/>
        <v>121.84962049821058</v>
      </c>
      <c r="AJ32" s="91">
        <f t="shared" si="16"/>
        <v>1.7705500000000001</v>
      </c>
      <c r="AK32" s="91">
        <f t="shared" si="16"/>
        <v>0.38341666666666668</v>
      </c>
      <c r="AL32" s="173">
        <v>20000</v>
      </c>
      <c r="AM32" s="173">
        <v>12000</v>
      </c>
      <c r="AN32" s="250">
        <v>8531</v>
      </c>
      <c r="AO32" s="215">
        <v>4</v>
      </c>
      <c r="AP32" s="215">
        <v>1</v>
      </c>
      <c r="AQ32" s="188">
        <v>45124</v>
      </c>
      <c r="AR32" s="7" t="s">
        <v>337</v>
      </c>
      <c r="AS32" s="7">
        <v>0</v>
      </c>
      <c r="AT32" s="35"/>
    </row>
    <row r="33" spans="2:46" x14ac:dyDescent="0.25">
      <c r="B33" s="7" t="s">
        <v>221</v>
      </c>
      <c r="C33" s="174" t="s">
        <v>15</v>
      </c>
      <c r="D33" s="38" t="s">
        <v>194</v>
      </c>
      <c r="E33" s="218"/>
      <c r="F33" s="38" t="s">
        <v>219</v>
      </c>
      <c r="G33" s="38" t="s">
        <v>280</v>
      </c>
      <c r="H33" s="80">
        <v>44929</v>
      </c>
      <c r="I33" s="181">
        <f t="shared" si="14"/>
        <v>130</v>
      </c>
      <c r="J33" s="183">
        <f t="shared" si="15"/>
        <v>7.8E-2</v>
      </c>
      <c r="K33" s="99">
        <v>46390</v>
      </c>
      <c r="L33" s="100">
        <v>3</v>
      </c>
      <c r="M33" s="101"/>
      <c r="N33" s="101">
        <v>390</v>
      </c>
      <c r="O33" s="267">
        <v>5000</v>
      </c>
      <c r="P33" s="268">
        <v>0.01</v>
      </c>
      <c r="Q33" s="103">
        <v>500</v>
      </c>
      <c r="R33" s="108">
        <v>0.08</v>
      </c>
      <c r="S33" s="190">
        <v>44942</v>
      </c>
      <c r="T33" s="244">
        <v>0</v>
      </c>
      <c r="U33" s="244">
        <v>0</v>
      </c>
      <c r="V33" s="115">
        <v>45097.001851851855</v>
      </c>
      <c r="W33" s="246">
        <v>3884</v>
      </c>
      <c r="X33" s="246">
        <v>2693</v>
      </c>
      <c r="Y33" s="126">
        <f t="shared" si="2"/>
        <v>5.0953928945383122</v>
      </c>
      <c r="Z33" s="30">
        <f t="shared" si="3"/>
        <v>3884</v>
      </c>
      <c r="AA33" s="30">
        <f t="shared" si="3"/>
        <v>2693</v>
      </c>
      <c r="AB33" s="85">
        <f t="shared" si="4"/>
        <v>762.25721556490976</v>
      </c>
      <c r="AC33" s="85">
        <f t="shared" si="5"/>
        <v>528.51665332551545</v>
      </c>
      <c r="AD33" s="32">
        <f t="shared" si="6"/>
        <v>-904.40945110175699</v>
      </c>
      <c r="AE33" s="32">
        <f t="shared" si="7"/>
        <v>361.84998665884882</v>
      </c>
      <c r="AF33" s="94">
        <f t="shared" si="8"/>
        <v>-4608.3214908971877</v>
      </c>
      <c r="AG33" s="94">
        <f t="shared" si="9"/>
        <v>1843.7678509102814</v>
      </c>
      <c r="AH33" s="86">
        <f t="shared" si="10"/>
        <v>-46.083214908971875</v>
      </c>
      <c r="AI33" s="86">
        <f t="shared" si="11"/>
        <v>147.50142807282251</v>
      </c>
      <c r="AJ33" s="91">
        <f t="shared" si="16"/>
        <v>0.19420000000000001</v>
      </c>
      <c r="AK33" s="91">
        <f t="shared" si="16"/>
        <v>0.22441666666666665</v>
      </c>
      <c r="AL33" s="173">
        <v>20000</v>
      </c>
      <c r="AM33" s="173">
        <v>12000</v>
      </c>
      <c r="AN33" s="250">
        <v>8531</v>
      </c>
      <c r="AO33" s="215">
        <v>3</v>
      </c>
      <c r="AP33" s="215">
        <v>1</v>
      </c>
      <c r="AQ33" s="188">
        <v>45124</v>
      </c>
      <c r="AR33" s="7" t="s">
        <v>338</v>
      </c>
      <c r="AS33">
        <v>0</v>
      </c>
      <c r="AT33" s="35"/>
    </row>
    <row r="34" spans="2:46" x14ac:dyDescent="0.25">
      <c r="B34" s="7" t="s">
        <v>167</v>
      </c>
      <c r="C34" s="174" t="s">
        <v>15</v>
      </c>
      <c r="D34" s="194" t="s">
        <v>211</v>
      </c>
      <c r="E34" s="218"/>
      <c r="F34" s="38" t="s">
        <v>217</v>
      </c>
      <c r="G34" s="38" t="s">
        <v>281</v>
      </c>
      <c r="H34" s="80">
        <v>44830</v>
      </c>
      <c r="I34" s="181">
        <f t="shared" si="14"/>
        <v>20</v>
      </c>
      <c r="J34" s="183" t="e">
        <f t="shared" si="15"/>
        <v>#DIV/0!</v>
      </c>
      <c r="K34" s="99" t="s">
        <v>208</v>
      </c>
      <c r="L34" s="100">
        <v>3</v>
      </c>
      <c r="M34" s="101"/>
      <c r="N34" s="101">
        <v>60</v>
      </c>
      <c r="O34" s="267">
        <v>0</v>
      </c>
      <c r="P34" s="268">
        <v>0.01</v>
      </c>
      <c r="Q34" s="103">
        <v>0</v>
      </c>
      <c r="R34" s="108">
        <v>0.08</v>
      </c>
      <c r="S34" s="190">
        <v>44950</v>
      </c>
      <c r="T34" s="244">
        <v>182364</v>
      </c>
      <c r="U34" s="244">
        <v>17620</v>
      </c>
      <c r="V34" s="193">
        <v>45036.085358796299</v>
      </c>
      <c r="W34" s="247">
        <v>182468</v>
      </c>
      <c r="X34" s="247">
        <v>17621</v>
      </c>
      <c r="Y34" s="126">
        <f t="shared" si="2"/>
        <v>2.8298934515548737</v>
      </c>
      <c r="Z34" s="30">
        <f t="shared" ref="Z34:AA56" si="17">W34-T34</f>
        <v>104</v>
      </c>
      <c r="AA34" s="30">
        <f t="shared" si="17"/>
        <v>1</v>
      </c>
      <c r="AB34" s="85">
        <f t="shared" si="4"/>
        <v>36.750500250409644</v>
      </c>
      <c r="AC34" s="85">
        <f t="shared" si="5"/>
        <v>0.35337019471547737</v>
      </c>
      <c r="AD34" s="32">
        <f t="shared" si="6"/>
        <v>36.750500250409644</v>
      </c>
      <c r="AE34" s="32">
        <f t="shared" si="7"/>
        <v>0.35337019471547737</v>
      </c>
      <c r="AF34" s="94">
        <f t="shared" si="8"/>
        <v>104</v>
      </c>
      <c r="AG34" s="94">
        <f t="shared" si="9"/>
        <v>1</v>
      </c>
      <c r="AH34" s="86">
        <f t="shared" si="10"/>
        <v>1.04</v>
      </c>
      <c r="AI34" s="86">
        <f t="shared" si="11"/>
        <v>0.08</v>
      </c>
      <c r="AJ34" s="91">
        <f t="shared" si="16"/>
        <v>9.1234000000000002</v>
      </c>
      <c r="AK34" s="91">
        <f t="shared" si="16"/>
        <v>1.4684166666666667</v>
      </c>
      <c r="AL34" s="173">
        <v>20000</v>
      </c>
      <c r="AM34" s="173">
        <v>12000</v>
      </c>
      <c r="AN34" s="250">
        <v>8511</v>
      </c>
      <c r="AO34" s="215">
        <v>1</v>
      </c>
      <c r="AP34" s="215">
        <v>1</v>
      </c>
      <c r="AQ34" s="188">
        <v>45124</v>
      </c>
      <c r="AR34" s="7" t="s">
        <v>339</v>
      </c>
      <c r="AS34">
        <v>0</v>
      </c>
      <c r="AT34" s="35"/>
    </row>
    <row r="35" spans="2:46" x14ac:dyDescent="0.25">
      <c r="B35" s="7" t="s">
        <v>167</v>
      </c>
      <c r="C35" s="53" t="s">
        <v>15</v>
      </c>
      <c r="D35" s="192" t="s">
        <v>194</v>
      </c>
      <c r="E35" s="270"/>
      <c r="F35" s="192" t="s">
        <v>340</v>
      </c>
      <c r="G35" s="192" t="s">
        <v>341</v>
      </c>
      <c r="H35" s="199">
        <v>45135</v>
      </c>
      <c r="I35" s="277">
        <f t="shared" si="14"/>
        <v>130</v>
      </c>
      <c r="J35" s="278">
        <f t="shared" si="15"/>
        <v>7.8E-2</v>
      </c>
      <c r="K35" s="279">
        <v>46596</v>
      </c>
      <c r="L35" s="100">
        <v>3</v>
      </c>
      <c r="M35" s="101"/>
      <c r="N35" s="101">
        <v>390</v>
      </c>
      <c r="O35" s="267">
        <v>5000</v>
      </c>
      <c r="P35" s="268">
        <v>0.01</v>
      </c>
      <c r="Q35" s="103">
        <v>500</v>
      </c>
      <c r="R35" s="108">
        <v>0.08</v>
      </c>
      <c r="S35" s="190">
        <v>45135</v>
      </c>
      <c r="T35" s="244">
        <v>0</v>
      </c>
      <c r="U35" s="244">
        <v>0</v>
      </c>
      <c r="V35" s="252"/>
      <c r="W35" s="266"/>
      <c r="X35" s="266"/>
      <c r="Y35" s="126">
        <f t="shared" si="2"/>
        <v>-1483.7278106508875</v>
      </c>
      <c r="Z35" s="30">
        <f t="shared" si="17"/>
        <v>0</v>
      </c>
      <c r="AA35" s="30">
        <f t="shared" si="17"/>
        <v>0</v>
      </c>
      <c r="AB35" s="85">
        <f t="shared" si="4"/>
        <v>0</v>
      </c>
      <c r="AC35" s="85">
        <f t="shared" si="5"/>
        <v>0</v>
      </c>
      <c r="AD35" s="32">
        <f t="shared" si="6"/>
        <v>-1666.6666666666667</v>
      </c>
      <c r="AE35" s="32">
        <f t="shared" si="7"/>
        <v>-166.66666666666666</v>
      </c>
      <c r="AF35" s="94">
        <f t="shared" si="8"/>
        <v>2472879.684418146</v>
      </c>
      <c r="AG35" s="94">
        <f t="shared" si="9"/>
        <v>247287.96844181456</v>
      </c>
      <c r="AH35" s="86">
        <f t="shared" si="10"/>
        <v>24728.796844181459</v>
      </c>
      <c r="AI35" s="86">
        <f t="shared" si="11"/>
        <v>19783.037475345165</v>
      </c>
      <c r="AJ35" s="91">
        <f t="shared" si="16"/>
        <v>0</v>
      </c>
      <c r="AK35" s="91">
        <f t="shared" si="16"/>
        <v>0</v>
      </c>
      <c r="AL35" s="173">
        <v>20000</v>
      </c>
      <c r="AM35" s="173">
        <v>12000</v>
      </c>
      <c r="AN35" s="250">
        <v>8531</v>
      </c>
      <c r="AO35" s="215"/>
      <c r="AP35" s="215"/>
      <c r="AQ35" s="188"/>
      <c r="AR35" s="7"/>
      <c r="AT35" s="35"/>
    </row>
    <row r="36" spans="2:46" x14ac:dyDescent="0.25">
      <c r="B36" s="7" t="s">
        <v>185</v>
      </c>
      <c r="C36" s="174" t="s">
        <v>186</v>
      </c>
      <c r="D36" s="38" t="s">
        <v>124</v>
      </c>
      <c r="E36" s="218"/>
      <c r="F36" s="38" t="s">
        <v>253</v>
      </c>
      <c r="G36" s="38"/>
      <c r="H36" s="80">
        <v>44482</v>
      </c>
      <c r="I36" s="181">
        <f t="shared" si="14"/>
        <v>100</v>
      </c>
      <c r="J36" s="183">
        <f t="shared" si="15"/>
        <v>0.06</v>
      </c>
      <c r="K36" s="99">
        <v>45943</v>
      </c>
      <c r="L36" s="100">
        <v>3</v>
      </c>
      <c r="M36" s="101"/>
      <c r="N36" s="178">
        <v>300</v>
      </c>
      <c r="O36" s="175">
        <v>5000</v>
      </c>
      <c r="P36" s="108">
        <v>0.01</v>
      </c>
      <c r="Q36" s="174">
        <v>500</v>
      </c>
      <c r="R36" s="108">
        <v>0.08</v>
      </c>
      <c r="S36" s="190">
        <v>44935</v>
      </c>
      <c r="T36" s="244">
        <v>15119</v>
      </c>
      <c r="U36" s="244">
        <v>2941</v>
      </c>
      <c r="V36" s="115">
        <v>45078.362800925926</v>
      </c>
      <c r="W36" s="246">
        <v>19721</v>
      </c>
      <c r="X36" s="246">
        <v>4079</v>
      </c>
      <c r="Y36" s="126">
        <f t="shared" si="2"/>
        <v>4.7127810955268377</v>
      </c>
      <c r="Z36" s="30">
        <f t="shared" si="17"/>
        <v>4602</v>
      </c>
      <c r="AA36" s="30">
        <f t="shared" si="17"/>
        <v>1138</v>
      </c>
      <c r="AB36" s="85">
        <f t="shared" si="4"/>
        <v>976.49347735841457</v>
      </c>
      <c r="AC36" s="85">
        <f t="shared" si="5"/>
        <v>241.47100765620942</v>
      </c>
      <c r="AD36" s="32">
        <f t="shared" si="6"/>
        <v>-690.17318930825218</v>
      </c>
      <c r="AE36" s="32">
        <f t="shared" si="7"/>
        <v>74.804340989542766</v>
      </c>
      <c r="AF36" s="94">
        <f t="shared" si="8"/>
        <v>-3252.6351592113961</v>
      </c>
      <c r="AG36" s="94">
        <f t="shared" si="9"/>
        <v>352.5364840788605</v>
      </c>
      <c r="AH36" s="86">
        <f t="shared" si="10"/>
        <v>-32.526351592113961</v>
      </c>
      <c r="AI36" s="86">
        <f t="shared" si="11"/>
        <v>28.202918726308841</v>
      </c>
      <c r="AJ36" s="91">
        <f t="shared" si="16"/>
        <v>0.98604999999999998</v>
      </c>
      <c r="AK36" s="91">
        <f t="shared" si="16"/>
        <v>0.33991666666666664</v>
      </c>
      <c r="AL36" s="173">
        <v>20000</v>
      </c>
      <c r="AM36" s="173">
        <v>12000</v>
      </c>
      <c r="AN36" s="250">
        <v>8511</v>
      </c>
      <c r="AO36" s="215">
        <v>3</v>
      </c>
      <c r="AP36" s="215">
        <v>1</v>
      </c>
      <c r="AQ36" s="188">
        <v>45124</v>
      </c>
      <c r="AR36" s="7" t="s">
        <v>342</v>
      </c>
      <c r="AS36" s="53" t="s">
        <v>333</v>
      </c>
      <c r="AT36" s="35"/>
    </row>
    <row r="37" spans="2:46" x14ac:dyDescent="0.25">
      <c r="B37" s="7" t="s">
        <v>201</v>
      </c>
      <c r="C37" s="174" t="s">
        <v>196</v>
      </c>
      <c r="D37" s="38" t="s">
        <v>194</v>
      </c>
      <c r="E37" s="218"/>
      <c r="F37" s="38" t="s">
        <v>197</v>
      </c>
      <c r="G37" s="38"/>
      <c r="H37" s="80">
        <v>44652</v>
      </c>
      <c r="I37" s="181">
        <f t="shared" si="14"/>
        <v>110</v>
      </c>
      <c r="J37" s="183">
        <f t="shared" si="15"/>
        <v>6.6000000000000003E-2</v>
      </c>
      <c r="K37" s="99">
        <v>46112</v>
      </c>
      <c r="L37" s="100">
        <v>1</v>
      </c>
      <c r="M37" s="101">
        <v>110</v>
      </c>
      <c r="N37" s="101"/>
      <c r="O37" s="267">
        <f>5000/3</f>
        <v>1666.6666666666667</v>
      </c>
      <c r="P37" s="268">
        <v>0.01</v>
      </c>
      <c r="Q37" s="103">
        <f>250/3</f>
        <v>83.333333333333329</v>
      </c>
      <c r="R37" s="108">
        <v>0.08</v>
      </c>
      <c r="S37" s="190">
        <v>44927</v>
      </c>
      <c r="T37" s="244">
        <v>36893</v>
      </c>
      <c r="U37" s="244">
        <v>2133</v>
      </c>
      <c r="V37" s="115">
        <v>45078.001793981479</v>
      </c>
      <c r="W37" s="246">
        <v>50055</v>
      </c>
      <c r="X37" s="246">
        <v>3566</v>
      </c>
      <c r="Y37" s="126">
        <f t="shared" si="2"/>
        <v>4.9638985529743209</v>
      </c>
      <c r="Z37" s="30">
        <f t="shared" si="17"/>
        <v>13162</v>
      </c>
      <c r="AA37" s="30">
        <f t="shared" si="17"/>
        <v>1433</v>
      </c>
      <c r="AB37" s="85">
        <f t="shared" si="4"/>
        <v>2651.5449217054315</v>
      </c>
      <c r="AC37" s="85">
        <f t="shared" si="5"/>
        <v>288.68438480503596</v>
      </c>
      <c r="AD37" s="32">
        <f t="shared" si="6"/>
        <v>984.87825503876479</v>
      </c>
      <c r="AE37" s="32">
        <f t="shared" si="7"/>
        <v>205.35105147170265</v>
      </c>
      <c r="AF37" s="94">
        <f t="shared" si="8"/>
        <v>4888.8357450427984</v>
      </c>
      <c r="AG37" s="94">
        <f t="shared" si="9"/>
        <v>1019.3417872521401</v>
      </c>
      <c r="AH37" s="86">
        <f t="shared" si="10"/>
        <v>48.888357450427982</v>
      </c>
      <c r="AI37" s="86">
        <f t="shared" si="11"/>
        <v>81.547342980171209</v>
      </c>
      <c r="AJ37" s="91">
        <f t="shared" si="16"/>
        <v>2.5027499999999998</v>
      </c>
      <c r="AK37" s="91">
        <f t="shared" si="16"/>
        <v>0.29716666666666669</v>
      </c>
      <c r="AL37" s="173">
        <v>20000</v>
      </c>
      <c r="AM37" s="173">
        <v>12000</v>
      </c>
      <c r="AN37" s="250">
        <v>8531</v>
      </c>
      <c r="AO37" s="215">
        <v>4</v>
      </c>
      <c r="AP37" s="215">
        <v>1</v>
      </c>
      <c r="AQ37" s="188">
        <v>45124</v>
      </c>
      <c r="AR37" s="7" t="s">
        <v>343</v>
      </c>
      <c r="AS37">
        <v>0</v>
      </c>
      <c r="AT37" s="35"/>
    </row>
    <row r="38" spans="2:46" x14ac:dyDescent="0.25">
      <c r="B38" t="s">
        <v>344</v>
      </c>
      <c r="C38" s="174" t="s">
        <v>345</v>
      </c>
      <c r="D38" s="38" t="s">
        <v>194</v>
      </c>
      <c r="E38" s="218"/>
      <c r="F38" s="38" t="s">
        <v>346</v>
      </c>
      <c r="G38" s="38"/>
      <c r="H38" s="199">
        <v>45110</v>
      </c>
      <c r="I38" s="181">
        <f t="shared" si="14"/>
        <v>117</v>
      </c>
      <c r="J38" s="183">
        <f t="shared" si="15"/>
        <v>7.0199999999999999E-2</v>
      </c>
      <c r="K38" s="99">
        <v>46571</v>
      </c>
      <c r="L38" s="100">
        <v>3</v>
      </c>
      <c r="M38" s="101"/>
      <c r="N38" s="101">
        <v>351</v>
      </c>
      <c r="O38" s="267">
        <v>5000</v>
      </c>
      <c r="P38" s="268">
        <v>0.01</v>
      </c>
      <c r="Q38" s="103">
        <v>500</v>
      </c>
      <c r="R38" s="108">
        <v>0.08</v>
      </c>
      <c r="S38" s="190"/>
      <c r="T38" s="244">
        <v>0</v>
      </c>
      <c r="U38" s="244">
        <v>0</v>
      </c>
      <c r="V38" s="115"/>
      <c r="W38" s="246"/>
      <c r="X38" s="246"/>
      <c r="Y38" s="126">
        <f t="shared" si="2"/>
        <v>0</v>
      </c>
      <c r="Z38" s="30">
        <f t="shared" si="17"/>
        <v>0</v>
      </c>
      <c r="AA38" s="30">
        <f t="shared" si="17"/>
        <v>0</v>
      </c>
      <c r="AB38" s="85" t="e">
        <f t="shared" si="4"/>
        <v>#DIV/0!</v>
      </c>
      <c r="AC38" s="85" t="e">
        <f t="shared" si="5"/>
        <v>#DIV/0!</v>
      </c>
      <c r="AD38" s="32" t="e">
        <f t="shared" si="6"/>
        <v>#DIV/0!</v>
      </c>
      <c r="AE38" s="32" t="e">
        <f t="shared" si="7"/>
        <v>#DIV/0!</v>
      </c>
      <c r="AF38" s="94" t="e">
        <f t="shared" si="8"/>
        <v>#DIV/0!</v>
      </c>
      <c r="AG38" s="94" t="e">
        <f t="shared" si="9"/>
        <v>#DIV/0!</v>
      </c>
      <c r="AH38" s="86" t="e">
        <f t="shared" si="10"/>
        <v>#DIV/0!</v>
      </c>
      <c r="AI38" s="86" t="e">
        <f t="shared" si="11"/>
        <v>#DIV/0!</v>
      </c>
      <c r="AJ38" s="91">
        <f t="shared" si="16"/>
        <v>0</v>
      </c>
      <c r="AK38" s="91">
        <f t="shared" si="16"/>
        <v>0</v>
      </c>
      <c r="AL38" s="173">
        <v>20000</v>
      </c>
      <c r="AM38" s="173">
        <v>12000</v>
      </c>
      <c r="AN38" s="250">
        <v>8531</v>
      </c>
      <c r="AO38" s="215">
        <v>2</v>
      </c>
      <c r="AP38" s="215">
        <v>1</v>
      </c>
      <c r="AQ38" s="188">
        <v>45124</v>
      </c>
      <c r="AR38" s="7" t="s">
        <v>347</v>
      </c>
      <c r="AS38">
        <v>0</v>
      </c>
      <c r="AT38" s="35"/>
    </row>
    <row r="39" spans="2:46" x14ac:dyDescent="0.25">
      <c r="B39" s="7" t="s">
        <v>289</v>
      </c>
      <c r="C39" s="174" t="s">
        <v>291</v>
      </c>
      <c r="D39" s="38" t="s">
        <v>194</v>
      </c>
      <c r="E39" s="218"/>
      <c r="F39" s="38" t="s">
        <v>290</v>
      </c>
      <c r="G39" s="38"/>
      <c r="H39" s="199">
        <v>45051</v>
      </c>
      <c r="I39" s="181"/>
      <c r="J39" s="183"/>
      <c r="K39" s="99">
        <v>46511</v>
      </c>
      <c r="L39" s="100">
        <v>3</v>
      </c>
      <c r="M39" s="101"/>
      <c r="N39" s="101">
        <v>390</v>
      </c>
      <c r="O39" s="267">
        <v>5000</v>
      </c>
      <c r="P39" s="268">
        <v>0.01</v>
      </c>
      <c r="Q39" s="103">
        <v>500</v>
      </c>
      <c r="R39" s="108">
        <v>0.08</v>
      </c>
      <c r="S39" s="264">
        <v>45051</v>
      </c>
      <c r="T39" s="244">
        <v>0</v>
      </c>
      <c r="U39" s="244">
        <v>0</v>
      </c>
      <c r="V39" s="252"/>
      <c r="W39" s="266"/>
      <c r="X39" s="266"/>
      <c r="Y39" s="126">
        <f t="shared" si="2"/>
        <v>-1480.9664694280077</v>
      </c>
      <c r="Z39" s="30">
        <f t="shared" si="17"/>
        <v>0</v>
      </c>
      <c r="AA39" s="30">
        <f t="shared" si="17"/>
        <v>0</v>
      </c>
      <c r="AB39" s="85">
        <f t="shared" si="4"/>
        <v>0</v>
      </c>
      <c r="AC39" s="85">
        <f t="shared" si="5"/>
        <v>0</v>
      </c>
      <c r="AD39" s="32">
        <f t="shared" si="6"/>
        <v>-1666.6666666666667</v>
      </c>
      <c r="AE39" s="32">
        <f t="shared" si="7"/>
        <v>-166.66666666666666</v>
      </c>
      <c r="AF39" s="94">
        <f t="shared" si="8"/>
        <v>2468277.4490466798</v>
      </c>
      <c r="AG39" s="94">
        <f t="shared" si="9"/>
        <v>246827.74490466792</v>
      </c>
      <c r="AH39" s="86">
        <f t="shared" si="10"/>
        <v>24682.7744904668</v>
      </c>
      <c r="AI39" s="86">
        <f t="shared" si="11"/>
        <v>19746.219592373436</v>
      </c>
      <c r="AJ39" s="91">
        <f t="shared" si="16"/>
        <v>0</v>
      </c>
      <c r="AK39" s="91">
        <f t="shared" si="16"/>
        <v>0</v>
      </c>
      <c r="AL39" s="173">
        <v>20000</v>
      </c>
      <c r="AM39" s="173">
        <v>12000</v>
      </c>
      <c r="AN39" s="250">
        <v>8531</v>
      </c>
      <c r="AO39" s="215">
        <v>2</v>
      </c>
      <c r="AP39" s="215">
        <v>1</v>
      </c>
      <c r="AQ39" s="188">
        <v>45124</v>
      </c>
      <c r="AR39" s="7" t="s">
        <v>348</v>
      </c>
      <c r="AS39">
        <v>0</v>
      </c>
      <c r="AT39" s="35"/>
    </row>
    <row r="40" spans="2:46" x14ac:dyDescent="0.25">
      <c r="B40" s="97"/>
      <c r="C40" s="174" t="s">
        <v>81</v>
      </c>
      <c r="D40" s="38" t="s">
        <v>82</v>
      </c>
      <c r="E40" s="218"/>
      <c r="F40" s="249"/>
      <c r="G40" s="38" t="s">
        <v>181</v>
      </c>
      <c r="H40" s="80">
        <v>44247</v>
      </c>
      <c r="I40" s="181">
        <f t="shared" ref="I40:I56" si="18">IF(M40="",N40/L40,M40)</f>
        <v>50</v>
      </c>
      <c r="J40" s="183">
        <f t="shared" ref="J40:J56" si="19">I40/(O40/L40)</f>
        <v>0.05</v>
      </c>
      <c r="K40" s="273">
        <v>45342</v>
      </c>
      <c r="L40" s="100">
        <v>3</v>
      </c>
      <c r="M40" s="101"/>
      <c r="N40" s="101">
        <v>150</v>
      </c>
      <c r="O40" s="267">
        <v>3000</v>
      </c>
      <c r="P40" s="268">
        <v>0.01</v>
      </c>
      <c r="Q40" s="103">
        <v>300</v>
      </c>
      <c r="R40" s="173">
        <v>0.09</v>
      </c>
      <c r="S40" s="190">
        <v>44943</v>
      </c>
      <c r="T40" s="244">
        <v>2218</v>
      </c>
      <c r="U40" s="244">
        <v>8129</v>
      </c>
      <c r="V40" s="115">
        <v>45098</v>
      </c>
      <c r="W40" s="246">
        <v>2943</v>
      </c>
      <c r="X40" s="246">
        <v>9837</v>
      </c>
      <c r="Y40" s="126">
        <f t="shared" si="2"/>
        <v>5.095332018408941</v>
      </c>
      <c r="Z40" s="30">
        <f t="shared" si="17"/>
        <v>725</v>
      </c>
      <c r="AA40" s="30">
        <f t="shared" si="17"/>
        <v>1708</v>
      </c>
      <c r="AB40" s="85">
        <f t="shared" si="4"/>
        <v>142.28709677419357</v>
      </c>
      <c r="AC40" s="85">
        <f t="shared" si="5"/>
        <v>335.20877419354844</v>
      </c>
      <c r="AD40" s="32">
        <f t="shared" si="6"/>
        <v>-857.71290322580649</v>
      </c>
      <c r="AE40" s="32">
        <f t="shared" si="7"/>
        <v>235.20877419354844</v>
      </c>
      <c r="AF40" s="94">
        <f t="shared" si="8"/>
        <v>-4370.3320184089416</v>
      </c>
      <c r="AG40" s="94">
        <f t="shared" si="9"/>
        <v>1198.466798159106</v>
      </c>
      <c r="AH40" s="86">
        <f t="shared" si="10"/>
        <v>-43.703320184089414</v>
      </c>
      <c r="AI40" s="86">
        <f t="shared" si="11"/>
        <v>107.86201183431953</v>
      </c>
      <c r="AJ40" s="91">
        <f t="shared" si="16"/>
        <v>0.58860000000000001</v>
      </c>
      <c r="AK40" s="91">
        <f t="shared" si="16"/>
        <v>2.4592499999999999</v>
      </c>
      <c r="AL40" s="173">
        <v>5000</v>
      </c>
      <c r="AM40" s="173">
        <v>4000</v>
      </c>
      <c r="AN40" s="250" t="s">
        <v>255</v>
      </c>
      <c r="AO40" s="215">
        <v>3</v>
      </c>
      <c r="AP40" s="215">
        <v>2</v>
      </c>
      <c r="AQ40" s="274">
        <v>44942</v>
      </c>
      <c r="AR40" s="7" t="s">
        <v>220</v>
      </c>
      <c r="AS40">
        <v>0</v>
      </c>
      <c r="AT40" s="35"/>
    </row>
    <row r="41" spans="2:46" x14ac:dyDescent="0.25">
      <c r="B41" s="96"/>
      <c r="C41" s="174" t="s">
        <v>81</v>
      </c>
      <c r="D41" s="38" t="s">
        <v>82</v>
      </c>
      <c r="E41" s="218"/>
      <c r="F41" s="249"/>
      <c r="G41" s="38" t="s">
        <v>254</v>
      </c>
      <c r="H41" s="80">
        <v>44440</v>
      </c>
      <c r="I41" s="181">
        <f t="shared" si="18"/>
        <v>50</v>
      </c>
      <c r="J41" s="183">
        <f t="shared" si="19"/>
        <v>0.05</v>
      </c>
      <c r="K41" s="170">
        <v>45536</v>
      </c>
      <c r="L41" s="100">
        <v>3</v>
      </c>
      <c r="M41" s="101"/>
      <c r="N41" s="101">
        <v>150</v>
      </c>
      <c r="O41" s="267">
        <v>3000</v>
      </c>
      <c r="P41" s="268">
        <v>0.01</v>
      </c>
      <c r="Q41" s="103">
        <v>300</v>
      </c>
      <c r="R41" s="173">
        <v>0.09</v>
      </c>
      <c r="S41" s="190">
        <v>44943</v>
      </c>
      <c r="T41" s="244">
        <v>9757</v>
      </c>
      <c r="U41" s="244">
        <v>5548</v>
      </c>
      <c r="V41" s="115">
        <v>45100</v>
      </c>
      <c r="W41" s="246">
        <v>12500</v>
      </c>
      <c r="X41" s="246">
        <v>7174</v>
      </c>
      <c r="Y41" s="126">
        <f t="shared" si="2"/>
        <v>5.1610782380013145</v>
      </c>
      <c r="Z41" s="30">
        <f t="shared" si="17"/>
        <v>2743</v>
      </c>
      <c r="AA41" s="30">
        <f t="shared" si="17"/>
        <v>1626</v>
      </c>
      <c r="AB41" s="85">
        <f t="shared" si="4"/>
        <v>531.4780891719746</v>
      </c>
      <c r="AC41" s="85">
        <f t="shared" si="5"/>
        <v>315.05044585987264</v>
      </c>
      <c r="AD41" s="32">
        <f t="shared" si="6"/>
        <v>-468.5219108280254</v>
      </c>
      <c r="AE41" s="32">
        <f t="shared" si="7"/>
        <v>215.05044585987264</v>
      </c>
      <c r="AF41" s="94">
        <f t="shared" si="8"/>
        <v>-2418.0782380013143</v>
      </c>
      <c r="AG41" s="94">
        <f t="shared" si="9"/>
        <v>1109.8921761998686</v>
      </c>
      <c r="AH41" s="86">
        <f t="shared" si="10"/>
        <v>-24.180782380013142</v>
      </c>
      <c r="AI41" s="86">
        <f t="shared" si="11"/>
        <v>99.890295857988164</v>
      </c>
      <c r="AJ41" s="91">
        <f t="shared" si="16"/>
        <v>2.5</v>
      </c>
      <c r="AK41" s="91">
        <f t="shared" si="16"/>
        <v>1.7935000000000001</v>
      </c>
      <c r="AL41" s="173">
        <v>5000</v>
      </c>
      <c r="AM41" s="173">
        <v>4000</v>
      </c>
      <c r="AN41" s="250" t="s">
        <v>255</v>
      </c>
      <c r="AO41" s="215">
        <v>2</v>
      </c>
      <c r="AP41" s="215">
        <v>2</v>
      </c>
      <c r="AQ41" s="274">
        <v>44942</v>
      </c>
      <c r="AR41" s="7" t="s">
        <v>220</v>
      </c>
      <c r="AS41">
        <v>0</v>
      </c>
      <c r="AT41" s="35"/>
    </row>
    <row r="42" spans="2:46" x14ac:dyDescent="0.25">
      <c r="B42" s="7" t="s">
        <v>169</v>
      </c>
      <c r="C42" s="174" t="s">
        <v>81</v>
      </c>
      <c r="D42" s="38" t="s">
        <v>124</v>
      </c>
      <c r="E42" s="218"/>
      <c r="F42" s="38" t="s">
        <v>256</v>
      </c>
      <c r="G42" s="38"/>
      <c r="H42" s="80">
        <v>43833</v>
      </c>
      <c r="I42" s="181">
        <f t="shared" si="18"/>
        <v>66.666666666666671</v>
      </c>
      <c r="J42" s="183">
        <f t="shared" si="19"/>
        <v>6.6666666666666666E-2</v>
      </c>
      <c r="K42" s="273">
        <v>45657</v>
      </c>
      <c r="L42" s="100">
        <v>3</v>
      </c>
      <c r="M42" s="101"/>
      <c r="N42" s="101">
        <v>200</v>
      </c>
      <c r="O42" s="267">
        <v>3000</v>
      </c>
      <c r="P42" s="268">
        <v>0.01</v>
      </c>
      <c r="Q42" s="103">
        <v>300</v>
      </c>
      <c r="R42" s="108">
        <v>0.08</v>
      </c>
      <c r="S42" s="190">
        <v>44929</v>
      </c>
      <c r="T42" s="244">
        <v>58746</v>
      </c>
      <c r="U42" s="244">
        <v>34899</v>
      </c>
      <c r="V42" s="115">
        <v>45097.710509259261</v>
      </c>
      <c r="W42" s="246">
        <v>66550</v>
      </c>
      <c r="X42" s="246">
        <v>42552</v>
      </c>
      <c r="Y42" s="126">
        <f t="shared" si="2"/>
        <v>5.5460390946502631</v>
      </c>
      <c r="Z42" s="30">
        <f t="shared" si="17"/>
        <v>7804</v>
      </c>
      <c r="AA42" s="30">
        <f t="shared" si="17"/>
        <v>7653</v>
      </c>
      <c r="AB42" s="85">
        <f t="shared" si="4"/>
        <v>1407.1303621944853</v>
      </c>
      <c r="AC42" s="85">
        <f t="shared" si="5"/>
        <v>1379.9037239716038</v>
      </c>
      <c r="AD42" s="32">
        <f t="shared" si="6"/>
        <v>407.13036219448531</v>
      </c>
      <c r="AE42" s="32">
        <f t="shared" si="7"/>
        <v>1279.9037239716038</v>
      </c>
      <c r="AF42" s="94">
        <f t="shared" si="8"/>
        <v>2257.960905349737</v>
      </c>
      <c r="AG42" s="94">
        <f t="shared" si="9"/>
        <v>7098.3960905349741</v>
      </c>
      <c r="AH42" s="86">
        <f t="shared" si="10"/>
        <v>22.579609053497371</v>
      </c>
      <c r="AI42" s="86">
        <f t="shared" si="11"/>
        <v>567.87168724279798</v>
      </c>
      <c r="AJ42" s="91">
        <f t="shared" si="16"/>
        <v>3.3275000000000001</v>
      </c>
      <c r="AK42" s="91">
        <f t="shared" si="16"/>
        <v>3.5459999999999998</v>
      </c>
      <c r="AL42" s="173">
        <v>20000</v>
      </c>
      <c r="AM42" s="173">
        <v>12000</v>
      </c>
      <c r="AN42" s="250">
        <v>8511</v>
      </c>
      <c r="AO42" s="215">
        <v>8</v>
      </c>
      <c r="AP42" s="215">
        <v>4</v>
      </c>
      <c r="AQ42" s="188">
        <v>45124</v>
      </c>
      <c r="AR42" s="7" t="s">
        <v>349</v>
      </c>
      <c r="AS42">
        <v>0</v>
      </c>
      <c r="AT42" s="35"/>
    </row>
    <row r="43" spans="2:46" x14ac:dyDescent="0.25">
      <c r="B43" t="s">
        <v>350</v>
      </c>
      <c r="C43" s="174" t="s">
        <v>43</v>
      </c>
      <c r="D43" s="38" t="s">
        <v>194</v>
      </c>
      <c r="E43" s="218"/>
      <c r="F43" s="38" t="s">
        <v>286</v>
      </c>
      <c r="G43" s="38"/>
      <c r="H43" s="80">
        <v>44979</v>
      </c>
      <c r="I43" s="181">
        <f t="shared" si="18"/>
        <v>130</v>
      </c>
      <c r="J43" s="183">
        <f t="shared" si="19"/>
        <v>7.8E-2</v>
      </c>
      <c r="K43" s="99">
        <v>46440</v>
      </c>
      <c r="L43" s="100">
        <v>3</v>
      </c>
      <c r="M43" s="101"/>
      <c r="N43" s="101">
        <v>390</v>
      </c>
      <c r="O43" s="267">
        <v>5000</v>
      </c>
      <c r="P43" s="268">
        <v>0.01</v>
      </c>
      <c r="Q43" s="103">
        <v>500</v>
      </c>
      <c r="R43" s="108">
        <v>0.08</v>
      </c>
      <c r="S43" s="190">
        <v>44979</v>
      </c>
      <c r="T43" s="244">
        <v>0</v>
      </c>
      <c r="U43" s="244">
        <v>0</v>
      </c>
      <c r="V43" s="115">
        <v>45097.043344907404</v>
      </c>
      <c r="W43" s="246">
        <v>4161</v>
      </c>
      <c r="X43" s="246">
        <v>950</v>
      </c>
      <c r="Y43" s="126">
        <f t="shared" si="2"/>
        <v>3.8804518378502428</v>
      </c>
      <c r="Z43" s="30">
        <f t="shared" si="17"/>
        <v>4161</v>
      </c>
      <c r="AA43" s="30">
        <f t="shared" si="17"/>
        <v>950</v>
      </c>
      <c r="AB43" s="85">
        <f t="shared" si="4"/>
        <v>1072.2978080576256</v>
      </c>
      <c r="AC43" s="85">
        <f t="shared" si="5"/>
        <v>244.81685115470904</v>
      </c>
      <c r="AD43" s="32">
        <f t="shared" si="6"/>
        <v>-594.36885860904113</v>
      </c>
      <c r="AE43" s="32">
        <f t="shared" si="7"/>
        <v>78.150184488042385</v>
      </c>
      <c r="AF43" s="94">
        <f t="shared" si="8"/>
        <v>-2306.4197297504047</v>
      </c>
      <c r="AG43" s="94">
        <f t="shared" si="9"/>
        <v>303.25802702495963</v>
      </c>
      <c r="AH43" s="86">
        <f t="shared" si="10"/>
        <v>-23.064197297504048</v>
      </c>
      <c r="AI43" s="86">
        <f t="shared" si="11"/>
        <v>24.26064216199677</v>
      </c>
      <c r="AJ43" s="91">
        <f t="shared" si="16"/>
        <v>0.20805000000000001</v>
      </c>
      <c r="AK43" s="91">
        <f t="shared" si="16"/>
        <v>7.9166666666666663E-2</v>
      </c>
      <c r="AL43" s="173">
        <v>20000</v>
      </c>
      <c r="AM43" s="173">
        <v>12000</v>
      </c>
      <c r="AN43" s="250">
        <v>8531</v>
      </c>
      <c r="AO43" s="215">
        <v>2</v>
      </c>
      <c r="AP43" s="215">
        <v>1</v>
      </c>
      <c r="AQ43" s="274">
        <v>44979</v>
      </c>
      <c r="AR43" s="7" t="s">
        <v>287</v>
      </c>
      <c r="AS43">
        <v>0</v>
      </c>
      <c r="AT43" s="35"/>
    </row>
    <row r="44" spans="2:46" x14ac:dyDescent="0.25">
      <c r="B44" s="7" t="s">
        <v>282</v>
      </c>
      <c r="C44" s="174" t="s">
        <v>188</v>
      </c>
      <c r="D44" s="38" t="s">
        <v>124</v>
      </c>
      <c r="E44" s="218"/>
      <c r="F44" s="38" t="s">
        <v>189</v>
      </c>
      <c r="G44" s="38"/>
      <c r="H44" s="80">
        <v>44539</v>
      </c>
      <c r="I44" s="181">
        <f t="shared" si="18"/>
        <v>100</v>
      </c>
      <c r="J44" s="183">
        <f t="shared" si="19"/>
        <v>0.06</v>
      </c>
      <c r="K44" s="99">
        <v>46000</v>
      </c>
      <c r="L44" s="100">
        <v>3</v>
      </c>
      <c r="M44" s="101"/>
      <c r="N44" s="178">
        <v>300</v>
      </c>
      <c r="O44" s="175">
        <v>5000</v>
      </c>
      <c r="P44" s="268">
        <v>0.01</v>
      </c>
      <c r="Q44" s="103">
        <v>500</v>
      </c>
      <c r="R44" s="108">
        <v>0.08</v>
      </c>
      <c r="S44" s="190">
        <v>44942</v>
      </c>
      <c r="T44" s="244">
        <v>58083</v>
      </c>
      <c r="U44" s="244">
        <v>10994</v>
      </c>
      <c r="V44" s="115">
        <v>45097.740046296298</v>
      </c>
      <c r="W44" s="246">
        <v>79020</v>
      </c>
      <c r="X44" s="246">
        <v>12583</v>
      </c>
      <c r="Y44" s="126">
        <f t="shared" si="2"/>
        <v>5.1196596415614</v>
      </c>
      <c r="Z44" s="30">
        <f t="shared" si="17"/>
        <v>20937</v>
      </c>
      <c r="AA44" s="30">
        <f t="shared" si="17"/>
        <v>1589</v>
      </c>
      <c r="AB44" s="85">
        <f t="shared" si="4"/>
        <v>4089.5296691274984</v>
      </c>
      <c r="AC44" s="85">
        <f t="shared" si="5"/>
        <v>310.37219488195996</v>
      </c>
      <c r="AD44" s="32">
        <f t="shared" si="6"/>
        <v>2422.8630024608319</v>
      </c>
      <c r="AE44" s="32">
        <f t="shared" si="7"/>
        <v>143.7055282152933</v>
      </c>
      <c r="AF44" s="94">
        <f t="shared" si="8"/>
        <v>12404.233930730999</v>
      </c>
      <c r="AG44" s="94">
        <f t="shared" si="9"/>
        <v>735.72339307310017</v>
      </c>
      <c r="AH44" s="86">
        <f t="shared" si="10"/>
        <v>124.04233930731</v>
      </c>
      <c r="AI44" s="86">
        <f t="shared" si="11"/>
        <v>58.857871445848012</v>
      </c>
      <c r="AJ44" s="91">
        <f t="shared" si="16"/>
        <v>3.9510000000000001</v>
      </c>
      <c r="AK44" s="91">
        <f t="shared" si="16"/>
        <v>1.0485833333333334</v>
      </c>
      <c r="AL44" s="173">
        <v>20000</v>
      </c>
      <c r="AM44" s="173">
        <v>12000</v>
      </c>
      <c r="AN44" s="250">
        <v>8511</v>
      </c>
      <c r="AO44" s="215">
        <v>4</v>
      </c>
      <c r="AP44" s="215">
        <v>2</v>
      </c>
      <c r="AQ44" s="188">
        <v>45124</v>
      </c>
      <c r="AR44" s="7" t="s">
        <v>351</v>
      </c>
      <c r="AS44">
        <v>0</v>
      </c>
      <c r="AT44" s="35"/>
    </row>
    <row r="45" spans="2:46" x14ac:dyDescent="0.25">
      <c r="B45" s="7" t="s">
        <v>282</v>
      </c>
      <c r="C45" s="174" t="s">
        <v>188</v>
      </c>
      <c r="D45" s="38" t="s">
        <v>124</v>
      </c>
      <c r="E45" s="218"/>
      <c r="F45" s="38" t="s">
        <v>190</v>
      </c>
      <c r="G45" s="38"/>
      <c r="H45" s="80">
        <v>44539</v>
      </c>
      <c r="I45" s="181">
        <f t="shared" si="18"/>
        <v>100</v>
      </c>
      <c r="J45" s="183">
        <f t="shared" si="19"/>
        <v>0.06</v>
      </c>
      <c r="K45" s="99">
        <v>46000</v>
      </c>
      <c r="L45" s="100">
        <v>3</v>
      </c>
      <c r="M45" s="101"/>
      <c r="N45" s="178">
        <v>300</v>
      </c>
      <c r="O45" s="175">
        <v>5000</v>
      </c>
      <c r="P45" s="268">
        <v>0.01</v>
      </c>
      <c r="Q45" s="103">
        <v>500</v>
      </c>
      <c r="R45" s="108">
        <v>0.08</v>
      </c>
      <c r="S45" s="190">
        <v>44915</v>
      </c>
      <c r="T45" s="244">
        <v>24483</v>
      </c>
      <c r="U45" s="244">
        <v>4376</v>
      </c>
      <c r="V45" s="115">
        <v>45097.740046296298</v>
      </c>
      <c r="W45" s="246">
        <v>43056</v>
      </c>
      <c r="X45" s="246">
        <v>7586</v>
      </c>
      <c r="Y45" s="126">
        <f t="shared" si="2"/>
        <v>6.0072336060584419</v>
      </c>
      <c r="Z45" s="30">
        <f t="shared" si="17"/>
        <v>18573</v>
      </c>
      <c r="AA45" s="30">
        <f t="shared" si="17"/>
        <v>3210</v>
      </c>
      <c r="AB45" s="85">
        <f t="shared" si="4"/>
        <v>3091.7725558847378</v>
      </c>
      <c r="AC45" s="85">
        <f t="shared" si="5"/>
        <v>534.35578013191241</v>
      </c>
      <c r="AD45" s="32">
        <f t="shared" si="6"/>
        <v>1425.1058892180711</v>
      </c>
      <c r="AE45" s="32">
        <f t="shared" si="7"/>
        <v>367.68911346524578</v>
      </c>
      <c r="AF45" s="94">
        <f t="shared" si="8"/>
        <v>8560.9439899025947</v>
      </c>
      <c r="AG45" s="94">
        <f t="shared" si="9"/>
        <v>2208.7943989902601</v>
      </c>
      <c r="AH45" s="86">
        <f t="shared" si="10"/>
        <v>85.609439899025944</v>
      </c>
      <c r="AI45" s="86">
        <f t="shared" si="11"/>
        <v>176.70355191922081</v>
      </c>
      <c r="AJ45" s="91">
        <f t="shared" si="16"/>
        <v>2.1528</v>
      </c>
      <c r="AK45" s="91">
        <f t="shared" si="16"/>
        <v>0.63216666666666665</v>
      </c>
      <c r="AL45" s="173">
        <v>20000</v>
      </c>
      <c r="AM45" s="173">
        <v>12000</v>
      </c>
      <c r="AN45" s="250">
        <v>8511</v>
      </c>
      <c r="AO45" s="215">
        <v>2</v>
      </c>
      <c r="AP45" s="215">
        <v>1</v>
      </c>
      <c r="AQ45" s="188">
        <v>45124</v>
      </c>
      <c r="AR45" s="7" t="s">
        <v>352</v>
      </c>
      <c r="AS45">
        <v>0</v>
      </c>
      <c r="AT45" s="35"/>
    </row>
    <row r="46" spans="2:46" x14ac:dyDescent="0.25">
      <c r="B46" s="7" t="s">
        <v>170</v>
      </c>
      <c r="C46" s="174" t="s">
        <v>89</v>
      </c>
      <c r="D46" s="38" t="s">
        <v>13</v>
      </c>
      <c r="E46" s="218"/>
      <c r="F46" s="38" t="s">
        <v>257</v>
      </c>
      <c r="G46" s="38"/>
      <c r="H46" s="80">
        <v>43440</v>
      </c>
      <c r="I46" s="181">
        <f t="shared" si="18"/>
        <v>66.666666666666671</v>
      </c>
      <c r="J46" s="183">
        <f t="shared" si="19"/>
        <v>6.6666666666666666E-2</v>
      </c>
      <c r="K46" s="273">
        <v>45261</v>
      </c>
      <c r="L46" s="100">
        <v>3</v>
      </c>
      <c r="M46" s="101"/>
      <c r="N46" s="101">
        <v>200</v>
      </c>
      <c r="O46" s="267">
        <v>3000</v>
      </c>
      <c r="P46" s="268">
        <v>0.01</v>
      </c>
      <c r="Q46" s="103">
        <v>300</v>
      </c>
      <c r="R46" s="185">
        <v>8.1000000000000003E-2</v>
      </c>
      <c r="S46" s="190">
        <v>44928</v>
      </c>
      <c r="T46" s="244">
        <v>110511</v>
      </c>
      <c r="U46" s="244">
        <v>28981</v>
      </c>
      <c r="V46" s="115">
        <v>45097.693495370368</v>
      </c>
      <c r="W46" s="246">
        <v>117398</v>
      </c>
      <c r="X46" s="246">
        <v>31521</v>
      </c>
      <c r="Y46" s="126">
        <f t="shared" si="2"/>
        <v>5.5783529050087965</v>
      </c>
      <c r="Z46" s="30">
        <f t="shared" si="17"/>
        <v>6887</v>
      </c>
      <c r="AA46" s="30">
        <f t="shared" si="17"/>
        <v>2540</v>
      </c>
      <c r="AB46" s="85">
        <f t="shared" si="4"/>
        <v>1234.5938160018832</v>
      </c>
      <c r="AC46" s="85">
        <f t="shared" si="5"/>
        <v>455.33153661170076</v>
      </c>
      <c r="AD46" s="32">
        <f t="shared" si="6"/>
        <v>234.59381600188317</v>
      </c>
      <c r="AE46" s="32">
        <f t="shared" si="7"/>
        <v>355.33153661170076</v>
      </c>
      <c r="AF46" s="94">
        <f t="shared" si="8"/>
        <v>1308.6470949912041</v>
      </c>
      <c r="AG46" s="94">
        <f t="shared" si="9"/>
        <v>1982.1647094991204</v>
      </c>
      <c r="AH46" s="86">
        <f t="shared" si="10"/>
        <v>13.086470949912041</v>
      </c>
      <c r="AI46" s="86">
        <f t="shared" si="11"/>
        <v>160.55534146942875</v>
      </c>
      <c r="AJ46" s="91">
        <f t="shared" si="16"/>
        <v>5.8699000000000003</v>
      </c>
      <c r="AK46" s="91">
        <f t="shared" si="16"/>
        <v>2.6267499999999999</v>
      </c>
      <c r="AL46" s="173">
        <v>20000</v>
      </c>
      <c r="AM46" s="173">
        <v>12000</v>
      </c>
      <c r="AN46" s="250">
        <v>8511</v>
      </c>
      <c r="AO46" s="215">
        <v>8</v>
      </c>
      <c r="AP46" s="215">
        <v>2</v>
      </c>
      <c r="AQ46" s="188">
        <v>45124</v>
      </c>
      <c r="AR46" s="7" t="s">
        <v>353</v>
      </c>
      <c r="AS46" s="53" t="s">
        <v>333</v>
      </c>
      <c r="AT46" s="35"/>
    </row>
    <row r="47" spans="2:46" x14ac:dyDescent="0.25">
      <c r="B47" s="7" t="s">
        <v>171</v>
      </c>
      <c r="C47" s="174" t="s">
        <v>0</v>
      </c>
      <c r="D47" s="38" t="s">
        <v>216</v>
      </c>
      <c r="E47" s="219" t="s">
        <v>138</v>
      </c>
      <c r="F47" s="38" t="s">
        <v>258</v>
      </c>
      <c r="G47" s="38"/>
      <c r="H47" s="80">
        <v>44813</v>
      </c>
      <c r="I47" s="181">
        <f t="shared" si="18"/>
        <v>170</v>
      </c>
      <c r="J47" s="183">
        <f t="shared" si="19"/>
        <v>2.8333333333333332E-2</v>
      </c>
      <c r="K47" s="99">
        <v>46274</v>
      </c>
      <c r="L47" s="100">
        <v>1</v>
      </c>
      <c r="M47" s="101">
        <v>170</v>
      </c>
      <c r="N47" s="101">
        <v>0</v>
      </c>
      <c r="O47" s="267">
        <v>6000</v>
      </c>
      <c r="P47" s="268">
        <v>0.01</v>
      </c>
      <c r="Q47" s="165"/>
      <c r="R47" s="165"/>
      <c r="S47" s="190">
        <v>44951</v>
      </c>
      <c r="T47" s="244">
        <v>26664</v>
      </c>
      <c r="U47" s="169"/>
      <c r="V47" s="115">
        <v>45091.435162037036</v>
      </c>
      <c r="W47" s="246">
        <v>57035</v>
      </c>
      <c r="X47" s="245"/>
      <c r="Y47" s="126">
        <f t="shared" si="2"/>
        <v>4.6165405008887639</v>
      </c>
      <c r="Z47" s="30">
        <f t="shared" si="17"/>
        <v>30371</v>
      </c>
      <c r="AA47" s="30">
        <f t="shared" si="17"/>
        <v>0</v>
      </c>
      <c r="AB47" s="85">
        <f t="shared" si="4"/>
        <v>6578.7357425225791</v>
      </c>
      <c r="AC47" s="85">
        <f t="shared" si="5"/>
        <v>0</v>
      </c>
      <c r="AD47" s="32">
        <f t="shared" si="6"/>
        <v>578.73574252257913</v>
      </c>
      <c r="AE47" s="32">
        <f t="shared" si="7"/>
        <v>0</v>
      </c>
      <c r="AF47" s="94">
        <f t="shared" si="8"/>
        <v>2671.756994667418</v>
      </c>
      <c r="AG47" s="94">
        <f t="shared" si="9"/>
        <v>0</v>
      </c>
      <c r="AH47" s="86">
        <f t="shared" si="10"/>
        <v>26.717569946674182</v>
      </c>
      <c r="AI47" s="86">
        <f t="shared" si="11"/>
        <v>0</v>
      </c>
      <c r="AJ47" s="91">
        <f t="shared" si="16"/>
        <v>1.425875</v>
      </c>
      <c r="AK47" s="165"/>
      <c r="AL47" s="173">
        <v>40000</v>
      </c>
      <c r="AM47" s="251"/>
      <c r="AN47" s="250">
        <v>7530</v>
      </c>
      <c r="AO47" s="215">
        <v>3</v>
      </c>
      <c r="AP47" s="165"/>
      <c r="AQ47" s="274">
        <v>44942</v>
      </c>
      <c r="AR47" s="7"/>
      <c r="AS47">
        <v>0</v>
      </c>
      <c r="AT47" s="35"/>
    </row>
    <row r="48" spans="2:46" x14ac:dyDescent="0.25">
      <c r="B48" s="7" t="s">
        <v>171</v>
      </c>
      <c r="C48" s="174" t="s">
        <v>0</v>
      </c>
      <c r="D48" s="38" t="s">
        <v>194</v>
      </c>
      <c r="E48" s="218"/>
      <c r="F48" s="38" t="s">
        <v>237</v>
      </c>
      <c r="G48" s="38"/>
      <c r="H48" s="80">
        <v>44939</v>
      </c>
      <c r="I48" s="181">
        <f t="shared" si="18"/>
        <v>130</v>
      </c>
      <c r="J48" s="183">
        <f t="shared" si="19"/>
        <v>2.5999999999999999E-2</v>
      </c>
      <c r="K48" s="99">
        <v>46400</v>
      </c>
      <c r="L48" s="100">
        <v>1</v>
      </c>
      <c r="M48" s="101">
        <v>130</v>
      </c>
      <c r="N48" s="101"/>
      <c r="O48" s="267">
        <v>5000</v>
      </c>
      <c r="P48" s="268">
        <v>0.01</v>
      </c>
      <c r="Q48" s="103">
        <v>500</v>
      </c>
      <c r="R48" s="108">
        <v>0.08</v>
      </c>
      <c r="S48" s="190">
        <v>44939</v>
      </c>
      <c r="T48" s="244">
        <v>0</v>
      </c>
      <c r="U48" s="244">
        <v>0</v>
      </c>
      <c r="V48" s="115">
        <v>45100</v>
      </c>
      <c r="W48" s="246">
        <v>18447</v>
      </c>
      <c r="X48" s="246">
        <v>3010</v>
      </c>
      <c r="Y48" s="126">
        <f t="shared" si="2"/>
        <v>5.2925706771860614</v>
      </c>
      <c r="Z48" s="30">
        <f t="shared" si="17"/>
        <v>18447</v>
      </c>
      <c r="AA48" s="30">
        <f t="shared" si="17"/>
        <v>3010</v>
      </c>
      <c r="AB48" s="85">
        <f t="shared" si="4"/>
        <v>3485.4518012422363</v>
      </c>
      <c r="AC48" s="85">
        <f t="shared" si="5"/>
        <v>568.7217391304348</v>
      </c>
      <c r="AD48" s="32">
        <f t="shared" si="6"/>
        <v>-1514.5481987577637</v>
      </c>
      <c r="AE48" s="32">
        <f t="shared" si="7"/>
        <v>68.721739130434798</v>
      </c>
      <c r="AF48" s="94">
        <f t="shared" si="8"/>
        <v>-8015.853385930307</v>
      </c>
      <c r="AG48" s="94">
        <f t="shared" si="9"/>
        <v>363.71466140696919</v>
      </c>
      <c r="AH48" s="86">
        <f t="shared" si="10"/>
        <v>-80.158533859303077</v>
      </c>
      <c r="AI48" s="86">
        <f t="shared" si="11"/>
        <v>29.097172912557536</v>
      </c>
      <c r="AJ48" s="91">
        <f t="shared" si="16"/>
        <v>0.92235</v>
      </c>
      <c r="AK48" s="91">
        <f>X48/AM48</f>
        <v>0.25083333333333335</v>
      </c>
      <c r="AL48" s="173">
        <v>20000</v>
      </c>
      <c r="AM48" s="173">
        <v>12000</v>
      </c>
      <c r="AN48" s="250">
        <v>8531</v>
      </c>
      <c r="AO48" s="215">
        <v>2</v>
      </c>
      <c r="AP48" s="215">
        <v>1</v>
      </c>
      <c r="AQ48" s="274">
        <v>44942</v>
      </c>
      <c r="AR48" s="7"/>
      <c r="AS48">
        <v>0</v>
      </c>
      <c r="AT48" s="35"/>
    </row>
    <row r="49" spans="2:46" x14ac:dyDescent="0.25">
      <c r="B49" s="7" t="s">
        <v>171</v>
      </c>
      <c r="C49" s="174" t="s">
        <v>0</v>
      </c>
      <c r="D49" s="38" t="s">
        <v>194</v>
      </c>
      <c r="E49" s="218"/>
      <c r="F49" s="38" t="s">
        <v>260</v>
      </c>
      <c r="G49" s="38"/>
      <c r="H49" s="80">
        <v>44762</v>
      </c>
      <c r="I49" s="181">
        <f t="shared" si="18"/>
        <v>130</v>
      </c>
      <c r="J49" s="183">
        <f t="shared" si="19"/>
        <v>2.5999999999999999E-2</v>
      </c>
      <c r="K49" s="99">
        <v>46223</v>
      </c>
      <c r="L49" s="100">
        <v>1</v>
      </c>
      <c r="M49" s="101">
        <v>130</v>
      </c>
      <c r="N49" s="101"/>
      <c r="O49" s="267">
        <v>5000</v>
      </c>
      <c r="P49" s="268">
        <v>0.01</v>
      </c>
      <c r="Q49" s="103">
        <v>500</v>
      </c>
      <c r="R49" s="108">
        <v>0.08</v>
      </c>
      <c r="S49" s="190">
        <v>44929</v>
      </c>
      <c r="T49" s="244">
        <v>8811</v>
      </c>
      <c r="U49" s="244">
        <v>4802</v>
      </c>
      <c r="V49" s="115">
        <v>45100</v>
      </c>
      <c r="W49" s="246">
        <v>16183</v>
      </c>
      <c r="X49" s="246">
        <v>10400</v>
      </c>
      <c r="Y49" s="126">
        <f t="shared" si="2"/>
        <v>5.6213017751479288</v>
      </c>
      <c r="Z49" s="30">
        <f t="shared" si="17"/>
        <v>7372</v>
      </c>
      <c r="AA49" s="30">
        <f t="shared" si="17"/>
        <v>5598</v>
      </c>
      <c r="AB49" s="85">
        <f t="shared" si="4"/>
        <v>1311.44</v>
      </c>
      <c r="AC49" s="85">
        <f t="shared" si="5"/>
        <v>995.85473684210524</v>
      </c>
      <c r="AD49" s="32">
        <f t="shared" si="6"/>
        <v>-3688.56</v>
      </c>
      <c r="AE49" s="32">
        <f t="shared" si="7"/>
        <v>495.85473684210524</v>
      </c>
      <c r="AF49" s="94">
        <f t="shared" si="8"/>
        <v>-20734.508875739644</v>
      </c>
      <c r="AG49" s="94">
        <f t="shared" si="9"/>
        <v>2787.3491124260354</v>
      </c>
      <c r="AH49" s="86">
        <f t="shared" si="10"/>
        <v>-207.34508875739644</v>
      </c>
      <c r="AI49" s="86">
        <f t="shared" si="11"/>
        <v>222.98792899408284</v>
      </c>
      <c r="AJ49" s="91">
        <f t="shared" si="16"/>
        <v>0.80915000000000004</v>
      </c>
      <c r="AK49" s="91">
        <f>X49/AM49</f>
        <v>0.8666666666666667</v>
      </c>
      <c r="AL49" s="173">
        <v>20000</v>
      </c>
      <c r="AM49" s="173">
        <v>12000</v>
      </c>
      <c r="AN49" s="250">
        <v>8531</v>
      </c>
      <c r="AO49" s="215">
        <v>3</v>
      </c>
      <c r="AP49" s="215">
        <v>2</v>
      </c>
      <c r="AQ49" s="274">
        <v>44942</v>
      </c>
      <c r="AR49" s="7"/>
      <c r="AS49">
        <v>0</v>
      </c>
      <c r="AT49" s="35"/>
    </row>
    <row r="50" spans="2:46" x14ac:dyDescent="0.25">
      <c r="B50" s="7" t="s">
        <v>171</v>
      </c>
      <c r="C50" s="174" t="s">
        <v>0</v>
      </c>
      <c r="D50" s="38" t="s">
        <v>210</v>
      </c>
      <c r="E50" s="218"/>
      <c r="F50" s="38" t="s">
        <v>259</v>
      </c>
      <c r="G50" s="38"/>
      <c r="H50" s="80">
        <v>43009</v>
      </c>
      <c r="I50" s="181">
        <f t="shared" si="18"/>
        <v>140</v>
      </c>
      <c r="J50" s="183">
        <f t="shared" si="19"/>
        <v>2.8000000000000001E-2</v>
      </c>
      <c r="K50" s="273">
        <v>45107</v>
      </c>
      <c r="L50" s="100">
        <v>1</v>
      </c>
      <c r="M50" s="101">
        <v>140</v>
      </c>
      <c r="N50" s="101">
        <v>0</v>
      </c>
      <c r="O50" s="267">
        <v>5000</v>
      </c>
      <c r="P50" s="268">
        <v>0.01</v>
      </c>
      <c r="Q50" s="276">
        <v>300</v>
      </c>
      <c r="R50" s="173">
        <v>0.09</v>
      </c>
      <c r="S50" s="190">
        <v>44928</v>
      </c>
      <c r="T50" s="244">
        <v>366411</v>
      </c>
      <c r="U50" s="244">
        <v>18624</v>
      </c>
      <c r="V50" s="115">
        <v>45090</v>
      </c>
      <c r="W50" s="246">
        <v>395883</v>
      </c>
      <c r="X50" s="246">
        <v>21430</v>
      </c>
      <c r="Y50" s="126">
        <f t="shared" si="2"/>
        <v>5.3254437869822482</v>
      </c>
      <c r="Z50" s="30">
        <f t="shared" si="17"/>
        <v>29472</v>
      </c>
      <c r="AA50" s="30">
        <f t="shared" si="17"/>
        <v>2806</v>
      </c>
      <c r="AB50" s="85">
        <f t="shared" si="4"/>
        <v>5534.1866666666674</v>
      </c>
      <c r="AC50" s="85">
        <f t="shared" si="5"/>
        <v>526.90444444444449</v>
      </c>
      <c r="AD50" s="32">
        <f t="shared" si="6"/>
        <v>534.18666666666741</v>
      </c>
      <c r="AE50" s="32">
        <f t="shared" si="7"/>
        <v>226.90444444444449</v>
      </c>
      <c r="AF50" s="94">
        <f t="shared" si="8"/>
        <v>2844.7810650887614</v>
      </c>
      <c r="AG50" s="94">
        <f t="shared" si="9"/>
        <v>1208.3668639053255</v>
      </c>
      <c r="AH50" s="86">
        <f t="shared" si="10"/>
        <v>28.447810650887615</v>
      </c>
      <c r="AI50" s="86">
        <f t="shared" si="11"/>
        <v>108.75301775147929</v>
      </c>
      <c r="AJ50" s="91">
        <f t="shared" si="16"/>
        <v>13.196099999999999</v>
      </c>
      <c r="AK50" s="91">
        <f>X50/AM50</f>
        <v>1.0714999999999999</v>
      </c>
      <c r="AL50" s="173">
        <v>30000</v>
      </c>
      <c r="AM50" s="173">
        <v>20000</v>
      </c>
      <c r="AN50" s="263">
        <v>8513</v>
      </c>
      <c r="AO50" s="215">
        <v>13</v>
      </c>
      <c r="AP50" s="215">
        <v>2</v>
      </c>
      <c r="AQ50" s="274">
        <v>44942</v>
      </c>
      <c r="AR50" s="7" t="s">
        <v>354</v>
      </c>
      <c r="AS50">
        <v>0</v>
      </c>
      <c r="AT50" s="35"/>
    </row>
    <row r="51" spans="2:46" x14ac:dyDescent="0.25">
      <c r="B51" s="7" t="s">
        <v>178</v>
      </c>
      <c r="C51" s="174" t="s">
        <v>0</v>
      </c>
      <c r="D51" s="38" t="s">
        <v>105</v>
      </c>
      <c r="E51" s="219" t="s">
        <v>138</v>
      </c>
      <c r="F51" s="38" t="s">
        <v>262</v>
      </c>
      <c r="G51" s="38"/>
      <c r="H51" s="80">
        <v>43630</v>
      </c>
      <c r="I51" s="181">
        <f t="shared" si="18"/>
        <v>120</v>
      </c>
      <c r="J51" s="183">
        <f t="shared" si="19"/>
        <v>1.2E-2</v>
      </c>
      <c r="K51" s="273">
        <v>45458</v>
      </c>
      <c r="L51" s="100">
        <v>1</v>
      </c>
      <c r="M51" s="101">
        <v>120</v>
      </c>
      <c r="N51" s="101">
        <v>0</v>
      </c>
      <c r="O51" s="267">
        <v>10000</v>
      </c>
      <c r="P51" s="108">
        <v>0.01</v>
      </c>
      <c r="Q51" s="165"/>
      <c r="R51" s="165"/>
      <c r="S51" s="190">
        <v>44935</v>
      </c>
      <c r="T51" s="244">
        <v>158730</v>
      </c>
      <c r="U51" s="169"/>
      <c r="V51" s="115">
        <v>45100</v>
      </c>
      <c r="W51" s="246">
        <v>177945</v>
      </c>
      <c r="X51" s="245"/>
      <c r="Y51" s="126">
        <f t="shared" si="2"/>
        <v>5.4240631163708084</v>
      </c>
      <c r="Z51" s="30">
        <f t="shared" si="17"/>
        <v>19215</v>
      </c>
      <c r="AA51" s="30">
        <f t="shared" si="17"/>
        <v>0</v>
      </c>
      <c r="AB51" s="85">
        <f t="shared" si="4"/>
        <v>3542.5472727272727</v>
      </c>
      <c r="AC51" s="85">
        <f t="shared" si="5"/>
        <v>0</v>
      </c>
      <c r="AD51" s="32">
        <f t="shared" si="6"/>
        <v>-6457.4527272727273</v>
      </c>
      <c r="AE51" s="32">
        <f t="shared" si="7"/>
        <v>0</v>
      </c>
      <c r="AF51" s="94">
        <f t="shared" si="8"/>
        <v>-35025.631163708087</v>
      </c>
      <c r="AG51" s="94">
        <f t="shared" si="9"/>
        <v>0</v>
      </c>
      <c r="AH51" s="86">
        <f t="shared" si="10"/>
        <v>-350.2563116370809</v>
      </c>
      <c r="AI51" s="86">
        <f t="shared" si="11"/>
        <v>0</v>
      </c>
      <c r="AJ51" s="91">
        <f t="shared" si="16"/>
        <v>5.0841428571428571</v>
      </c>
      <c r="AK51" s="165"/>
      <c r="AL51" s="173">
        <v>35000</v>
      </c>
      <c r="AM51" s="251"/>
      <c r="AN51" s="250">
        <v>7514</v>
      </c>
      <c r="AO51" s="215">
        <v>25</v>
      </c>
      <c r="AP51" s="165"/>
      <c r="AQ51" s="274">
        <v>44942</v>
      </c>
      <c r="AS51">
        <v>0</v>
      </c>
      <c r="AT51" s="35"/>
    </row>
    <row r="52" spans="2:46" x14ac:dyDescent="0.25">
      <c r="B52" s="7" t="s">
        <v>172</v>
      </c>
      <c r="C52" s="174" t="s">
        <v>0</v>
      </c>
      <c r="D52" s="38" t="s">
        <v>118</v>
      </c>
      <c r="E52" s="219" t="s">
        <v>138</v>
      </c>
      <c r="F52" s="38" t="s">
        <v>264</v>
      </c>
      <c r="G52" s="38"/>
      <c r="H52" s="80">
        <v>43875</v>
      </c>
      <c r="I52" s="181">
        <f t="shared" si="18"/>
        <v>80</v>
      </c>
      <c r="J52" s="183">
        <f t="shared" si="19"/>
        <v>1.3333333333333334E-2</v>
      </c>
      <c r="K52" s="273">
        <v>45702</v>
      </c>
      <c r="L52" s="100">
        <v>3</v>
      </c>
      <c r="M52" s="101"/>
      <c r="N52" s="101">
        <v>240</v>
      </c>
      <c r="O52" s="267">
        <v>18000</v>
      </c>
      <c r="P52" s="108">
        <v>0.01</v>
      </c>
      <c r="Q52" s="165"/>
      <c r="R52" s="165"/>
      <c r="S52" s="190">
        <v>44927</v>
      </c>
      <c r="T52" s="244">
        <v>149832</v>
      </c>
      <c r="U52" s="169"/>
      <c r="V52" s="115">
        <v>45100</v>
      </c>
      <c r="W52" s="246">
        <v>166195</v>
      </c>
      <c r="X52" s="245"/>
      <c r="Y52" s="126">
        <f t="shared" si="2"/>
        <v>5.6870479947403023</v>
      </c>
      <c r="Z52" s="30">
        <f t="shared" si="17"/>
        <v>16363</v>
      </c>
      <c r="AA52" s="30">
        <f t="shared" si="17"/>
        <v>0</v>
      </c>
      <c r="AB52" s="85">
        <f t="shared" si="4"/>
        <v>2877.239653179191</v>
      </c>
      <c r="AC52" s="85">
        <f t="shared" si="5"/>
        <v>0</v>
      </c>
      <c r="AD52" s="32">
        <f t="shared" si="6"/>
        <v>-3122.760346820809</v>
      </c>
      <c r="AE52" s="32">
        <f t="shared" si="7"/>
        <v>0</v>
      </c>
      <c r="AF52" s="94">
        <f t="shared" si="8"/>
        <v>-17759.287968441811</v>
      </c>
      <c r="AG52" s="94">
        <f t="shared" si="9"/>
        <v>0</v>
      </c>
      <c r="AH52" s="86">
        <f t="shared" si="10"/>
        <v>-177.59287968441811</v>
      </c>
      <c r="AI52" s="86">
        <f t="shared" si="11"/>
        <v>0</v>
      </c>
      <c r="AJ52" s="91">
        <f t="shared" si="16"/>
        <v>4.7484285714285717</v>
      </c>
      <c r="AK52" s="165"/>
      <c r="AL52" s="173">
        <v>35000</v>
      </c>
      <c r="AM52" s="251"/>
      <c r="AN52" s="250">
        <v>7513</v>
      </c>
      <c r="AO52" s="215">
        <v>6</v>
      </c>
      <c r="AP52" s="165"/>
      <c r="AQ52" s="274">
        <v>44942</v>
      </c>
      <c r="AS52">
        <v>0</v>
      </c>
      <c r="AT52" s="35"/>
    </row>
    <row r="53" spans="2:46" x14ac:dyDescent="0.25">
      <c r="B53" s="7" t="s">
        <v>173</v>
      </c>
      <c r="C53" s="174" t="s">
        <v>103</v>
      </c>
      <c r="D53" s="38" t="s">
        <v>13</v>
      </c>
      <c r="E53" s="218"/>
      <c r="F53" s="38" t="s">
        <v>265</v>
      </c>
      <c r="G53" s="38"/>
      <c r="H53" s="80">
        <v>43579</v>
      </c>
      <c r="I53" s="181">
        <f t="shared" si="18"/>
        <v>66.666666666666671</v>
      </c>
      <c r="J53" s="183">
        <f t="shared" si="19"/>
        <v>6.6666666666666666E-2</v>
      </c>
      <c r="K53" s="273">
        <v>45413</v>
      </c>
      <c r="L53" s="100">
        <v>3</v>
      </c>
      <c r="M53" s="101"/>
      <c r="N53" s="101">
        <v>200</v>
      </c>
      <c r="O53" s="267">
        <v>3000</v>
      </c>
      <c r="P53" s="108">
        <v>0.01</v>
      </c>
      <c r="Q53" s="103">
        <v>300</v>
      </c>
      <c r="R53" s="108">
        <v>0.08</v>
      </c>
      <c r="S53" s="190">
        <v>44928</v>
      </c>
      <c r="T53" s="244">
        <v>33663</v>
      </c>
      <c r="U53" s="244">
        <v>5225</v>
      </c>
      <c r="V53" s="115">
        <v>45096.29173611111</v>
      </c>
      <c r="W53" s="246">
        <v>38817</v>
      </c>
      <c r="X53" s="246">
        <v>5955</v>
      </c>
      <c r="Y53" s="126">
        <f t="shared" si="2"/>
        <v>5.532272718971412</v>
      </c>
      <c r="Z53" s="30">
        <f t="shared" si="17"/>
        <v>5154</v>
      </c>
      <c r="AA53" s="30">
        <f t="shared" si="17"/>
        <v>730</v>
      </c>
      <c r="AB53" s="85">
        <f t="shared" si="4"/>
        <v>931.62435436810097</v>
      </c>
      <c r="AC53" s="85">
        <f t="shared" si="5"/>
        <v>131.95300323801197</v>
      </c>
      <c r="AD53" s="32">
        <f t="shared" si="6"/>
        <v>-68.375645631899033</v>
      </c>
      <c r="AE53" s="32">
        <f t="shared" si="7"/>
        <v>31.953003238011974</v>
      </c>
      <c r="AF53" s="94">
        <f t="shared" si="8"/>
        <v>-378.27271897141179</v>
      </c>
      <c r="AG53" s="94">
        <f t="shared" si="9"/>
        <v>176.77272810285882</v>
      </c>
      <c r="AH53" s="86">
        <f t="shared" si="10"/>
        <v>-3.7827271897141181</v>
      </c>
      <c r="AI53" s="86">
        <f t="shared" si="11"/>
        <v>14.141818248228706</v>
      </c>
      <c r="AJ53" s="91">
        <f t="shared" si="16"/>
        <v>1.94085</v>
      </c>
      <c r="AK53" s="91">
        <f>X53/AM53</f>
        <v>0.49625000000000002</v>
      </c>
      <c r="AL53" s="173">
        <v>20000</v>
      </c>
      <c r="AM53" s="173">
        <v>12000</v>
      </c>
      <c r="AN53" s="250">
        <v>8511</v>
      </c>
      <c r="AO53" s="215">
        <v>4</v>
      </c>
      <c r="AP53" s="215">
        <v>1</v>
      </c>
      <c r="AQ53" s="188">
        <v>45124</v>
      </c>
      <c r="AR53" s="7" t="s">
        <v>355</v>
      </c>
      <c r="AS53" s="53" t="s">
        <v>268</v>
      </c>
      <c r="AT53" s="35"/>
    </row>
    <row r="54" spans="2:46" x14ac:dyDescent="0.25">
      <c r="B54" s="7" t="s">
        <v>174</v>
      </c>
      <c r="C54" s="174" t="s">
        <v>45</v>
      </c>
      <c r="D54" s="38" t="s">
        <v>13</v>
      </c>
      <c r="E54" s="218"/>
      <c r="F54" s="38" t="s">
        <v>266</v>
      </c>
      <c r="G54" s="38"/>
      <c r="H54" s="80">
        <v>43191</v>
      </c>
      <c r="I54" s="181">
        <f t="shared" si="18"/>
        <v>66.666666666666671</v>
      </c>
      <c r="J54" s="183">
        <f t="shared" si="19"/>
        <v>6.6666666666666666E-2</v>
      </c>
      <c r="K54" s="273">
        <v>45107</v>
      </c>
      <c r="L54" s="100">
        <v>3</v>
      </c>
      <c r="M54" s="101"/>
      <c r="N54" s="101">
        <v>200</v>
      </c>
      <c r="O54" s="267">
        <v>3000</v>
      </c>
      <c r="P54" s="268">
        <v>0.01</v>
      </c>
      <c r="Q54" s="276">
        <v>300</v>
      </c>
      <c r="R54" s="108">
        <v>0.08</v>
      </c>
      <c r="S54" s="190">
        <v>44928</v>
      </c>
      <c r="T54" s="244">
        <v>92806</v>
      </c>
      <c r="U54" s="244">
        <v>39759</v>
      </c>
      <c r="V54" s="115">
        <v>45095.441284722219</v>
      </c>
      <c r="W54" s="246">
        <v>101208</v>
      </c>
      <c r="X54" s="246">
        <v>43638</v>
      </c>
      <c r="Y54" s="126">
        <f t="shared" si="2"/>
        <v>5.504315737088076</v>
      </c>
      <c r="Z54" s="30">
        <f t="shared" si="17"/>
        <v>8402</v>
      </c>
      <c r="AA54" s="30">
        <f t="shared" si="17"/>
        <v>3879</v>
      </c>
      <c r="AB54" s="85">
        <f t="shared" si="4"/>
        <v>1526.438598604969</v>
      </c>
      <c r="AC54" s="85">
        <f t="shared" si="5"/>
        <v>704.71974815385329</v>
      </c>
      <c r="AD54" s="32">
        <f t="shared" si="6"/>
        <v>526.438598604969</v>
      </c>
      <c r="AE54" s="32">
        <f t="shared" si="7"/>
        <v>604.71974815385329</v>
      </c>
      <c r="AF54" s="94">
        <f t="shared" si="8"/>
        <v>2897.6842629119237</v>
      </c>
      <c r="AG54" s="94">
        <f t="shared" si="9"/>
        <v>3328.5684262911927</v>
      </c>
      <c r="AH54" s="86">
        <f t="shared" si="10"/>
        <v>28.976842629119236</v>
      </c>
      <c r="AI54" s="86">
        <f t="shared" si="11"/>
        <v>266.28547410329543</v>
      </c>
      <c r="AJ54" s="91">
        <f t="shared" si="16"/>
        <v>5.0603999999999996</v>
      </c>
      <c r="AK54" s="91">
        <f>X54/AM54</f>
        <v>3.6364999999999998</v>
      </c>
      <c r="AL54" s="173">
        <v>20000</v>
      </c>
      <c r="AM54" s="173">
        <v>12000</v>
      </c>
      <c r="AN54" s="250">
        <v>8511</v>
      </c>
      <c r="AO54" s="215">
        <v>9</v>
      </c>
      <c r="AP54" s="215">
        <v>5</v>
      </c>
      <c r="AQ54" s="188">
        <v>45124</v>
      </c>
      <c r="AR54" s="7" t="s">
        <v>356</v>
      </c>
      <c r="AS54">
        <v>0</v>
      </c>
      <c r="AT54" s="35"/>
    </row>
    <row r="55" spans="2:46" x14ac:dyDescent="0.25">
      <c r="B55" s="7" t="s">
        <v>175</v>
      </c>
      <c r="C55" s="174" t="s">
        <v>141</v>
      </c>
      <c r="D55" s="38" t="s">
        <v>125</v>
      </c>
      <c r="E55" s="219" t="s">
        <v>138</v>
      </c>
      <c r="F55" s="38" t="s">
        <v>143</v>
      </c>
      <c r="G55" s="38"/>
      <c r="H55" s="80">
        <v>44075</v>
      </c>
      <c r="I55" s="181">
        <f t="shared" si="18"/>
        <v>30.8</v>
      </c>
      <c r="J55" s="183">
        <f t="shared" si="19"/>
        <v>3.0800000000000001E-2</v>
      </c>
      <c r="K55" s="99">
        <v>45170</v>
      </c>
      <c r="L55" s="100">
        <v>1</v>
      </c>
      <c r="M55" s="101">
        <v>30.8</v>
      </c>
      <c r="N55" s="101"/>
      <c r="O55" s="102">
        <v>1000</v>
      </c>
      <c r="P55" s="108">
        <v>0.01</v>
      </c>
      <c r="Q55" s="166"/>
      <c r="R55" s="166"/>
      <c r="S55" s="190">
        <v>45291</v>
      </c>
      <c r="T55" s="244">
        <v>192512</v>
      </c>
      <c r="U55" s="169"/>
      <c r="V55" s="115">
        <v>45077.99827546296</v>
      </c>
      <c r="W55" s="246">
        <v>199283</v>
      </c>
      <c r="X55" s="245"/>
      <c r="Y55" s="126">
        <f t="shared" si="2"/>
        <v>-7.0020290774832343</v>
      </c>
      <c r="Z55" s="30">
        <f t="shared" si="17"/>
        <v>6771</v>
      </c>
      <c r="AA55" s="30">
        <f t="shared" si="17"/>
        <v>0</v>
      </c>
      <c r="AB55" s="85">
        <f t="shared" si="4"/>
        <v>-967.00541015658359</v>
      </c>
      <c r="AC55" s="85">
        <f t="shared" si="5"/>
        <v>0</v>
      </c>
      <c r="AD55" s="32">
        <f t="shared" si="6"/>
        <v>-1967.0054101565836</v>
      </c>
      <c r="AE55" s="32">
        <f t="shared" si="7"/>
        <v>0</v>
      </c>
      <c r="AF55" s="94">
        <f t="shared" si="8"/>
        <v>13773.029077483234</v>
      </c>
      <c r="AG55" s="94">
        <f t="shared" si="9"/>
        <v>0</v>
      </c>
      <c r="AH55" s="86">
        <f t="shared" si="10"/>
        <v>137.73029077483235</v>
      </c>
      <c r="AI55" s="86">
        <f t="shared" si="11"/>
        <v>0</v>
      </c>
      <c r="AJ55" s="91">
        <f t="shared" si="16"/>
        <v>6.6427666666666667</v>
      </c>
      <c r="AK55" s="165"/>
      <c r="AL55" s="173">
        <v>30000</v>
      </c>
      <c r="AM55" s="251"/>
      <c r="AN55" s="250">
        <v>3012</v>
      </c>
      <c r="AO55" s="215">
        <v>8</v>
      </c>
      <c r="AP55" s="177"/>
      <c r="AQ55" s="188">
        <v>45124</v>
      </c>
      <c r="AR55" s="7" t="s">
        <v>357</v>
      </c>
      <c r="AS55" s="53" t="s">
        <v>358</v>
      </c>
    </row>
    <row r="56" spans="2:46" x14ac:dyDescent="0.25">
      <c r="B56" s="7" t="s">
        <v>175</v>
      </c>
      <c r="C56" s="174" t="s">
        <v>141</v>
      </c>
      <c r="D56" s="38" t="s">
        <v>125</v>
      </c>
      <c r="E56" s="219" t="s">
        <v>138</v>
      </c>
      <c r="F56" s="38" t="s">
        <v>142</v>
      </c>
      <c r="G56" s="38"/>
      <c r="H56" s="80">
        <v>44075</v>
      </c>
      <c r="I56" s="181">
        <f t="shared" si="18"/>
        <v>30.8</v>
      </c>
      <c r="J56" s="183">
        <f t="shared" si="19"/>
        <v>3.0800000000000001E-2</v>
      </c>
      <c r="K56" s="99">
        <v>45170</v>
      </c>
      <c r="L56" s="100">
        <v>1</v>
      </c>
      <c r="M56" s="101">
        <v>30.8</v>
      </c>
      <c r="N56" s="101"/>
      <c r="O56" s="102">
        <v>1000</v>
      </c>
      <c r="P56" s="108">
        <v>0.01</v>
      </c>
      <c r="Q56" s="166"/>
      <c r="R56" s="166"/>
      <c r="S56" s="190">
        <v>45291</v>
      </c>
      <c r="T56" s="244">
        <v>139322</v>
      </c>
      <c r="U56" s="169"/>
      <c r="V56" s="115">
        <v>45077</v>
      </c>
      <c r="W56" s="246">
        <v>177656</v>
      </c>
      <c r="X56" s="245"/>
      <c r="Y56" s="126">
        <f t="shared" si="2"/>
        <v>-7.0348454963839577</v>
      </c>
      <c r="Z56" s="30">
        <f t="shared" si="17"/>
        <v>38334</v>
      </c>
      <c r="AA56" s="30">
        <f t="shared" si="17"/>
        <v>0</v>
      </c>
      <c r="AB56" s="85">
        <f t="shared" si="4"/>
        <v>-5449.1601869158876</v>
      </c>
      <c r="AC56" s="85">
        <f t="shared" si="5"/>
        <v>0</v>
      </c>
      <c r="AD56" s="32">
        <f t="shared" si="6"/>
        <v>-6449.1601869158876</v>
      </c>
      <c r="AE56" s="32">
        <f t="shared" si="7"/>
        <v>0</v>
      </c>
      <c r="AF56" s="94">
        <f t="shared" si="8"/>
        <v>45368.845496383954</v>
      </c>
      <c r="AG56" s="94">
        <f t="shared" si="9"/>
        <v>0</v>
      </c>
      <c r="AH56" s="86">
        <f t="shared" si="10"/>
        <v>453.68845496383955</v>
      </c>
      <c r="AI56" s="86">
        <f t="shared" si="11"/>
        <v>0</v>
      </c>
      <c r="AJ56" s="91">
        <f t="shared" si="16"/>
        <v>5.9218666666666664</v>
      </c>
      <c r="AK56" s="165"/>
      <c r="AL56" s="173">
        <v>30000</v>
      </c>
      <c r="AM56" s="251"/>
      <c r="AN56" s="250">
        <v>3012</v>
      </c>
      <c r="AO56" s="215">
        <v>6</v>
      </c>
      <c r="AP56" s="177"/>
      <c r="AQ56" s="188">
        <v>45124</v>
      </c>
      <c r="AR56" s="7" t="s">
        <v>359</v>
      </c>
      <c r="AS56" s="53" t="s">
        <v>358</v>
      </c>
    </row>
    <row r="57" spans="2:46" x14ac:dyDescent="0.25">
      <c r="E57" s="265"/>
      <c r="O57" s="280"/>
      <c r="P57" s="281"/>
      <c r="Q57" s="281"/>
      <c r="S57" s="281"/>
      <c r="T57" s="281"/>
      <c r="U57" s="281"/>
      <c r="V57" s="281"/>
      <c r="W57" s="281"/>
      <c r="X57" s="281"/>
      <c r="Y57" s="281"/>
      <c r="Z57" s="281"/>
      <c r="AA57" s="281"/>
      <c r="AB57" s="281"/>
    </row>
    <row r="58" spans="2:46" x14ac:dyDescent="0.25">
      <c r="O58" s="280"/>
      <c r="P58" s="281"/>
      <c r="Q58" s="281"/>
      <c r="S58" s="281"/>
      <c r="T58" s="281"/>
      <c r="U58" s="281"/>
      <c r="V58" s="281"/>
      <c r="W58" s="281"/>
      <c r="X58" s="281"/>
      <c r="Y58" s="281"/>
      <c r="Z58" s="281"/>
      <c r="AA58" s="281"/>
      <c r="AB58" s="281"/>
    </row>
    <row r="59" spans="2:46" x14ac:dyDescent="0.25">
      <c r="O59" s="280"/>
      <c r="P59" s="281"/>
      <c r="Q59" s="281"/>
      <c r="S59" s="281"/>
      <c r="T59" s="281"/>
      <c r="U59" s="281"/>
      <c r="V59" s="115"/>
      <c r="W59" s="246"/>
      <c r="X59" s="246"/>
      <c r="Y59" s="281"/>
      <c r="Z59" s="281"/>
      <c r="AA59" s="281"/>
      <c r="AB59" s="281"/>
    </row>
    <row r="60" spans="2:46" x14ac:dyDescent="0.25">
      <c r="B60" s="164" t="s">
        <v>360</v>
      </c>
      <c r="C60" s="53" t="s">
        <v>283</v>
      </c>
      <c r="D60" s="192" t="s">
        <v>194</v>
      </c>
      <c r="E60" s="270"/>
      <c r="F60" s="192" t="s">
        <v>284</v>
      </c>
      <c r="G60" s="282" t="s">
        <v>361</v>
      </c>
      <c r="H60" s="199">
        <v>44971</v>
      </c>
      <c r="I60" s="277">
        <f>IF(M60="",N60/L60,M60)</f>
        <v>230</v>
      </c>
      <c r="J60" s="278">
        <f>I60/(O60/L60)</f>
        <v>0.23</v>
      </c>
      <c r="K60" s="279">
        <v>46432</v>
      </c>
      <c r="L60" s="283">
        <v>1</v>
      </c>
      <c r="M60" s="271">
        <v>230</v>
      </c>
      <c r="N60" s="271"/>
      <c r="O60" s="272">
        <v>1000</v>
      </c>
      <c r="P60" s="125">
        <v>0.01</v>
      </c>
      <c r="Q60" s="53">
        <v>1500</v>
      </c>
      <c r="R60" s="125">
        <v>0.08</v>
      </c>
      <c r="S60" s="252">
        <v>45066</v>
      </c>
      <c r="T60" s="266">
        <v>10769</v>
      </c>
      <c r="U60" s="266">
        <v>13353</v>
      </c>
      <c r="V60" s="252">
        <v>45112</v>
      </c>
      <c r="W60" s="266">
        <v>12550</v>
      </c>
      <c r="X60" s="266">
        <v>16585</v>
      </c>
      <c r="Y60" s="126">
        <f>(V60-S60)/30.42</f>
        <v>1.5121630506245891</v>
      </c>
      <c r="Z60" s="30">
        <f>W60-T60</f>
        <v>1781</v>
      </c>
      <c r="AA60" s="30">
        <f>X60-U60</f>
        <v>3232</v>
      </c>
      <c r="AB60" s="85">
        <f>Z60/Y60</f>
        <v>1177.7830434782609</v>
      </c>
      <c r="AC60" s="85">
        <f>AA60/Y60</f>
        <v>2137.3356521739129</v>
      </c>
      <c r="AD60" s="32">
        <f>AB60-O60/L60</f>
        <v>177.78304347826088</v>
      </c>
      <c r="AE60" s="32">
        <f>AC60-Q60/L60</f>
        <v>637.33565217391288</v>
      </c>
      <c r="AF60" s="94">
        <f>AD60*Y60</f>
        <v>268.83694937541094</v>
      </c>
      <c r="AG60" s="94">
        <f>AE60*Y60</f>
        <v>963.75542406311615</v>
      </c>
      <c r="AH60" s="284">
        <f>AF60*P60</f>
        <v>2.6883694937541094</v>
      </c>
      <c r="AI60" s="284">
        <f>AG60*R60</f>
        <v>77.100433925049288</v>
      </c>
      <c r="AL60" s="91"/>
      <c r="AM60" s="91"/>
      <c r="AN60" s="91"/>
      <c r="AO60" s="91"/>
      <c r="AP60" s="91"/>
      <c r="AQ60" s="91"/>
      <c r="AR60" s="91"/>
      <c r="AS60" s="91"/>
      <c r="AT60" s="35"/>
    </row>
    <row r="61" spans="2:46" x14ac:dyDescent="0.25">
      <c r="B61" s="7" t="s">
        <v>327</v>
      </c>
      <c r="C61" s="174" t="s">
        <v>283</v>
      </c>
      <c r="D61" s="38" t="s">
        <v>328</v>
      </c>
      <c r="G61" s="285" t="s">
        <v>362</v>
      </c>
      <c r="O61" s="280"/>
      <c r="P61" s="281"/>
      <c r="Q61" s="281"/>
      <c r="S61" s="281"/>
      <c r="T61" s="281"/>
      <c r="U61" s="281"/>
      <c r="V61" s="252">
        <v>45112</v>
      </c>
      <c r="W61" s="266">
        <v>17708</v>
      </c>
      <c r="X61" s="266">
        <v>4099</v>
      </c>
      <c r="Y61" s="281" t="s">
        <v>363</v>
      </c>
      <c r="Z61" s="281"/>
      <c r="AA61" s="281"/>
      <c r="AB61" s="281"/>
      <c r="AL61" s="91"/>
      <c r="AM61" s="91"/>
      <c r="AN61" s="91"/>
      <c r="AO61" s="91"/>
      <c r="AP61" s="91"/>
      <c r="AQ61" s="91"/>
      <c r="AR61" s="91"/>
      <c r="AS61" s="91"/>
    </row>
    <row r="62" spans="2:46" x14ac:dyDescent="0.25">
      <c r="O62" s="280"/>
      <c r="P62" s="281"/>
      <c r="Q62" s="281"/>
      <c r="S62" s="281"/>
      <c r="T62" s="281"/>
      <c r="U62" s="281"/>
      <c r="V62" s="281"/>
      <c r="W62" s="281"/>
      <c r="X62" s="281"/>
      <c r="Y62" s="281"/>
      <c r="Z62" s="281"/>
      <c r="AA62" s="281"/>
      <c r="AB62" s="281"/>
    </row>
    <row r="63" spans="2:46" x14ac:dyDescent="0.25">
      <c r="E63" s="265"/>
    </row>
    <row r="64" spans="2:46" x14ac:dyDescent="0.25">
      <c r="E64" s="23"/>
      <c r="F64" s="82"/>
      <c r="G64" s="182"/>
      <c r="H64" s="184"/>
      <c r="I64" s="47"/>
      <c r="J64" s="42"/>
      <c r="K64"/>
      <c r="L64"/>
      <c r="M64" s="5"/>
      <c r="N64" s="3"/>
      <c r="O64" s="3"/>
      <c r="P64"/>
      <c r="R64" s="3"/>
      <c r="V64"/>
      <c r="W64"/>
      <c r="X64"/>
      <c r="Y64" s="7"/>
      <c r="Z64" s="7"/>
      <c r="AA64"/>
      <c r="AB64"/>
      <c r="AC64" s="91"/>
      <c r="AD64" s="91"/>
      <c r="AF64"/>
      <c r="AG64" s="2"/>
      <c r="AH64" s="2"/>
      <c r="AI64" s="2"/>
      <c r="AJ64" s="180"/>
      <c r="AK64"/>
      <c r="AN64"/>
      <c r="AO64"/>
      <c r="AP64"/>
      <c r="AQ64"/>
    </row>
    <row r="65" spans="5:43" x14ac:dyDescent="0.25">
      <c r="E65" s="23"/>
      <c r="F65" s="82"/>
      <c r="G65" s="182"/>
      <c r="H65" s="184"/>
      <c r="I65" s="47"/>
      <c r="J65" s="42"/>
      <c r="K65"/>
      <c r="L65"/>
      <c r="M65" s="5"/>
      <c r="N65" s="3"/>
      <c r="O65" s="3"/>
      <c r="P65"/>
      <c r="R65" s="3"/>
      <c r="V65"/>
      <c r="W65"/>
      <c r="X65"/>
      <c r="Y65" s="7"/>
      <c r="Z65" s="7"/>
      <c r="AA65"/>
      <c r="AB65"/>
      <c r="AC65" s="91"/>
      <c r="AD65" s="91"/>
      <c r="AF65"/>
      <c r="AG65" s="2"/>
      <c r="AH65" s="2"/>
      <c r="AI65" s="2"/>
      <c r="AJ65" s="180"/>
      <c r="AK65"/>
      <c r="AN65"/>
      <c r="AO65"/>
      <c r="AP65"/>
      <c r="AQ65"/>
    </row>
    <row r="66" spans="5:43" x14ac:dyDescent="0.25">
      <c r="E66" s="265"/>
    </row>
  </sheetData>
  <autoFilter ref="A1:AS54" xr:uid="{00000000-0009-0000-0000-000000000000}"/>
  <dataConsolidate/>
  <phoneticPr fontId="30" type="noConversion"/>
  <conditionalFormatting sqref="AD67:AI1048576">
    <cfRule type="cellIs" dxfId="17" priority="13" operator="lessThanOrEqual">
      <formula>0</formula>
    </cfRule>
  </conditionalFormatting>
  <conditionalFormatting sqref="AO66:AO102 AO63">
    <cfRule type="expression" dxfId="16" priority="12">
      <formula>$AO63&lt;$AJ63</formula>
    </cfRule>
  </conditionalFormatting>
  <conditionalFormatting sqref="AP66:AP102 AP63">
    <cfRule type="expression" dxfId="15" priority="11">
      <formula>$AP63&lt;$AK63</formula>
    </cfRule>
  </conditionalFormatting>
  <conditionalFormatting sqref="AD59:AI62 AD1:AI56">
    <cfRule type="cellIs" dxfId="14" priority="3" operator="lessThanOrEqual">
      <formula>0</formula>
    </cfRule>
  </conditionalFormatting>
  <conditionalFormatting sqref="AO59 AO62 AO2:AO57">
    <cfRule type="expression" dxfId="13" priority="2">
      <formula>$AO2&lt;$AJ2</formula>
    </cfRule>
  </conditionalFormatting>
  <conditionalFormatting sqref="AP2:AP57 AP59 AP62">
    <cfRule type="expression" dxfId="12" priority="1">
      <formula>$AP2&lt;$AK2</formula>
    </cfRule>
  </conditionalFormatting>
  <conditionalFormatting sqref="AH64:AH65">
    <cfRule type="expression" dxfId="11" priority="15">
      <formula>$AH64&lt;$AC64</formula>
    </cfRule>
  </conditionalFormatting>
  <conditionalFormatting sqref="AI64:AI65">
    <cfRule type="expression" dxfId="10" priority="18">
      <formula>$AI64&lt;$AD64</formula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8D40FF-E683-4FAB-B3BA-F9A06694F767}">
  <sheetPr codeName="Foglio41"/>
  <dimension ref="A1:J2"/>
  <sheetViews>
    <sheetView tabSelected="1" workbookViewId="0">
      <selection activeCell="M8" sqref="M8"/>
    </sheetView>
  </sheetViews>
  <sheetFormatPr defaultRowHeight="15" x14ac:dyDescent="0.25"/>
  <sheetData>
    <row r="1" spans="1:10" x14ac:dyDescent="0.25">
      <c r="A1" t="s">
        <v>364</v>
      </c>
      <c r="B1" t="s">
        <v>371</v>
      </c>
      <c r="C1" t="s">
        <v>372</v>
      </c>
      <c r="D1" t="s">
        <v>365</v>
      </c>
      <c r="E1" t="s">
        <v>366</v>
      </c>
      <c r="F1" t="s">
        <v>367</v>
      </c>
      <c r="G1" t="s">
        <v>368</v>
      </c>
      <c r="H1" t="s">
        <v>369</v>
      </c>
      <c r="I1" t="s">
        <v>370</v>
      </c>
      <c r="J1" t="s">
        <v>373</v>
      </c>
    </row>
    <row r="2" spans="1:10" x14ac:dyDescent="0.25">
      <c r="A2" t="s">
        <v>159</v>
      </c>
      <c r="B2" t="s">
        <v>250</v>
      </c>
      <c r="C2" s="286">
        <v>45180.291145833333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8FB979-9795-4377-94B7-7563D33330CA}">
  <sheetPr codeName="Foglio40"/>
  <dimension ref="A1:J2"/>
  <sheetViews>
    <sheetView workbookViewId="0">
      <selection activeCell="J13" sqref="J13"/>
    </sheetView>
  </sheetViews>
  <sheetFormatPr defaultRowHeight="15" x14ac:dyDescent="0.25"/>
  <sheetData>
    <row r="1" spans="1:10" x14ac:dyDescent="0.25">
      <c r="A1" t="s">
        <v>364</v>
      </c>
      <c r="B1" t="s">
        <v>371</v>
      </c>
      <c r="C1" t="s">
        <v>372</v>
      </c>
      <c r="D1" t="s">
        <v>365</v>
      </c>
      <c r="E1" t="s">
        <v>366</v>
      </c>
      <c r="F1" t="s">
        <v>367</v>
      </c>
      <c r="G1" t="s">
        <v>368</v>
      </c>
      <c r="H1" t="s">
        <v>369</v>
      </c>
      <c r="I1" t="s">
        <v>370</v>
      </c>
      <c r="J1" t="s">
        <v>373</v>
      </c>
    </row>
    <row r="2" spans="1:10" x14ac:dyDescent="0.25">
      <c r="A2" t="s">
        <v>163</v>
      </c>
      <c r="B2" t="s">
        <v>244</v>
      </c>
      <c r="C2" s="286">
        <v>45122.345775462964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oglio2"/>
  <dimension ref="B1:AT10"/>
  <sheetViews>
    <sheetView workbookViewId="0">
      <selection activeCell="G17" sqref="G17"/>
    </sheetView>
  </sheetViews>
  <sheetFormatPr defaultRowHeight="15" x14ac:dyDescent="0.25"/>
  <cols>
    <col min="2" max="2" width="25.140625" customWidth="1"/>
    <col min="7" max="7" width="29.28515625" customWidth="1"/>
    <col min="10" max="10" width="23.28515625" customWidth="1"/>
  </cols>
  <sheetData>
    <row r="1" spans="2:46" x14ac:dyDescent="0.25">
      <c r="B1" s="96"/>
      <c r="C1" s="174" t="s">
        <v>0</v>
      </c>
      <c r="D1" s="38" t="s">
        <v>69</v>
      </c>
      <c r="E1" s="38"/>
      <c r="F1" s="38" t="s">
        <v>180</v>
      </c>
      <c r="G1" s="80">
        <v>42917</v>
      </c>
      <c r="H1" s="181">
        <f>IF(L1="",M1/K1,L1)</f>
        <v>66.666666666666671</v>
      </c>
      <c r="I1" s="183">
        <f>H1/(N1/K1)</f>
        <v>6.6666666666666666E-2</v>
      </c>
      <c r="J1" s="191">
        <v>44742</v>
      </c>
      <c r="K1" s="100">
        <v>3</v>
      </c>
      <c r="L1" s="105"/>
      <c r="M1" s="105">
        <v>200</v>
      </c>
      <c r="N1" s="106">
        <v>3000</v>
      </c>
      <c r="O1" s="109">
        <v>0.01</v>
      </c>
      <c r="P1" s="107">
        <v>300</v>
      </c>
      <c r="Q1" s="173">
        <v>0.09</v>
      </c>
      <c r="R1" s="115">
        <v>44578</v>
      </c>
      <c r="S1" s="116">
        <v>117523</v>
      </c>
      <c r="T1" s="116">
        <v>28265</v>
      </c>
      <c r="U1" s="190">
        <v>44732</v>
      </c>
      <c r="V1" s="116">
        <v>125464</v>
      </c>
      <c r="W1" s="116">
        <v>32565</v>
      </c>
      <c r="X1" s="126">
        <f>(U1-R1)/30.42</f>
        <v>5.0624589086127543</v>
      </c>
      <c r="Y1" s="30">
        <f t="shared" ref="Y1:Z3" si="0">V1-S1</f>
        <v>7941</v>
      </c>
      <c r="Z1" s="30">
        <f t="shared" si="0"/>
        <v>4300</v>
      </c>
      <c r="AA1" s="85">
        <f>Y1/X1</f>
        <v>1568.6053246753249</v>
      </c>
      <c r="AB1" s="85">
        <f>Z1/X1</f>
        <v>849.38961038961043</v>
      </c>
      <c r="AC1" s="32">
        <f>AA1-N1/K1</f>
        <v>568.60532467532494</v>
      </c>
      <c r="AD1" s="32">
        <f>AB1-P1/K1</f>
        <v>749.38961038961043</v>
      </c>
      <c r="AE1" s="94">
        <f>AC1*X1</f>
        <v>2878.5410913872461</v>
      </c>
      <c r="AF1" s="94">
        <f>AD1*X1</f>
        <v>3793.7541091387243</v>
      </c>
      <c r="AG1" s="86">
        <f>AE1*O1</f>
        <v>28.785410913872461</v>
      </c>
      <c r="AH1" s="86">
        <f>AF1*Q1</f>
        <v>341.4378698224852</v>
      </c>
      <c r="AI1" s="91">
        <f t="shared" ref="AI1:AJ3" si="1">V1/AK1</f>
        <v>6.2732000000000001</v>
      </c>
      <c r="AJ1" s="91">
        <f t="shared" si="1"/>
        <v>2.7137500000000001</v>
      </c>
      <c r="AK1" s="108">
        <v>20000</v>
      </c>
      <c r="AL1" s="108">
        <v>12000</v>
      </c>
      <c r="AM1" s="171">
        <v>4</v>
      </c>
      <c r="AN1" s="171">
        <v>3</v>
      </c>
      <c r="AO1" s="176"/>
      <c r="AP1" s="187">
        <v>44574</v>
      </c>
      <c r="AS1" s="35"/>
    </row>
    <row r="2" spans="2:46" x14ac:dyDescent="0.25">
      <c r="B2" s="96"/>
      <c r="C2" s="174" t="s">
        <v>4</v>
      </c>
      <c r="D2" s="38" t="s">
        <v>69</v>
      </c>
      <c r="E2" s="38"/>
      <c r="F2" s="38"/>
      <c r="G2" s="80">
        <v>42929</v>
      </c>
      <c r="H2" s="181">
        <f>IF(L2="",M2/K2,L2)</f>
        <v>66.666666666666671</v>
      </c>
      <c r="I2" s="183">
        <f>H2/(N2/K2)</f>
        <v>6.6666666666666666E-2</v>
      </c>
      <c r="J2" s="191">
        <v>44742</v>
      </c>
      <c r="K2" s="100">
        <v>3</v>
      </c>
      <c r="L2" s="101"/>
      <c r="M2" s="101">
        <v>200</v>
      </c>
      <c r="N2" s="102">
        <v>3000</v>
      </c>
      <c r="O2" s="108">
        <v>0.01</v>
      </c>
      <c r="P2" s="103">
        <v>300</v>
      </c>
      <c r="Q2" s="173">
        <v>0.09</v>
      </c>
      <c r="R2" s="115">
        <v>44562</v>
      </c>
      <c r="S2" s="116">
        <v>70160</v>
      </c>
      <c r="T2" s="116">
        <v>18618</v>
      </c>
      <c r="U2" s="190">
        <v>44732</v>
      </c>
      <c r="V2" s="116">
        <v>77785</v>
      </c>
      <c r="W2" s="116">
        <v>21123</v>
      </c>
      <c r="X2" s="126">
        <f>(U2-R2)/30.42</f>
        <v>5.5884286653517421</v>
      </c>
      <c r="Y2" s="30">
        <f t="shared" si="0"/>
        <v>7625</v>
      </c>
      <c r="Z2" s="30">
        <f t="shared" si="0"/>
        <v>2505</v>
      </c>
      <c r="AA2" s="85">
        <f>Y2/X2</f>
        <v>1364.4264705882354</v>
      </c>
      <c r="AB2" s="85">
        <f>Z2/X2</f>
        <v>448.24764705882353</v>
      </c>
      <c r="AC2" s="32">
        <f>AA2-N2/K2</f>
        <v>364.42647058823536</v>
      </c>
      <c r="AD2" s="32">
        <f>AB2-P2/K2</f>
        <v>348.24764705882353</v>
      </c>
      <c r="AE2" s="94">
        <f>AC2*X2</f>
        <v>2036.571334648258</v>
      </c>
      <c r="AF2" s="94">
        <f>AD2*X2</f>
        <v>1946.1571334648256</v>
      </c>
      <c r="AG2" s="86">
        <f>AE2*O2</f>
        <v>20.365713346482579</v>
      </c>
      <c r="AH2" s="86">
        <f>AF2*Q2</f>
        <v>175.1541420118343</v>
      </c>
      <c r="AI2" s="91">
        <f t="shared" si="1"/>
        <v>3.8892500000000001</v>
      </c>
      <c r="AJ2" s="91">
        <f t="shared" si="1"/>
        <v>1.7602500000000001</v>
      </c>
      <c r="AK2" s="108">
        <v>20000</v>
      </c>
      <c r="AL2" s="108">
        <v>12000</v>
      </c>
      <c r="AM2" s="171">
        <v>4</v>
      </c>
      <c r="AN2" s="171">
        <v>2</v>
      </c>
      <c r="AO2" s="176"/>
      <c r="AP2" s="188"/>
      <c r="AQ2" s="7" t="s">
        <v>207</v>
      </c>
      <c r="AS2" s="35"/>
    </row>
    <row r="3" spans="2:46" x14ac:dyDescent="0.25">
      <c r="B3" t="s">
        <v>167</v>
      </c>
      <c r="C3" s="174" t="s">
        <v>15</v>
      </c>
      <c r="D3" s="38" t="s">
        <v>13</v>
      </c>
      <c r="E3" s="38"/>
      <c r="F3" s="38" t="s">
        <v>114</v>
      </c>
      <c r="G3" s="80">
        <v>43335</v>
      </c>
      <c r="H3" s="181">
        <f>IF(L3="",M3/K3,L3)</f>
        <v>96.666666666666671</v>
      </c>
      <c r="I3" s="183">
        <f>H3/(N3/K3)</f>
        <v>5.8000000000000003E-2</v>
      </c>
      <c r="J3" s="195">
        <v>44804</v>
      </c>
      <c r="K3" s="100">
        <v>3</v>
      </c>
      <c r="L3" s="105"/>
      <c r="M3" s="105">
        <v>290</v>
      </c>
      <c r="N3" s="175">
        <v>5000</v>
      </c>
      <c r="O3" s="186">
        <v>8.9999999999999993E-3</v>
      </c>
      <c r="P3" s="174">
        <v>500</v>
      </c>
      <c r="Q3" s="185">
        <v>8.1000000000000003E-2</v>
      </c>
      <c r="R3" s="190">
        <v>44734</v>
      </c>
      <c r="S3" s="116">
        <v>172662</v>
      </c>
      <c r="T3" s="116">
        <v>16727</v>
      </c>
      <c r="U3" s="190">
        <v>44804</v>
      </c>
      <c r="V3" s="116">
        <v>182359</v>
      </c>
      <c r="W3" s="116">
        <v>17595</v>
      </c>
      <c r="X3" s="126">
        <f>(U3-R3)/30.42</f>
        <v>2.3011176857330704</v>
      </c>
      <c r="Y3" s="30">
        <f t="shared" si="0"/>
        <v>9697</v>
      </c>
      <c r="Z3" s="30">
        <f t="shared" si="0"/>
        <v>868</v>
      </c>
      <c r="AA3" s="85">
        <f>Y3/X3</f>
        <v>4214.0391428571429</v>
      </c>
      <c r="AB3" s="85">
        <f>Z3/X3</f>
        <v>377.20799999999997</v>
      </c>
      <c r="AC3" s="32">
        <f>AA3-N3/K3</f>
        <v>2547.3724761904759</v>
      </c>
      <c r="AD3" s="32">
        <f>AB3-P3/K3</f>
        <v>210.54133333333331</v>
      </c>
      <c r="AE3" s="94">
        <f>AC3*X3</f>
        <v>5861.8038571115494</v>
      </c>
      <c r="AF3" s="94">
        <f>AD3*X3</f>
        <v>484.4803857111549</v>
      </c>
      <c r="AG3" s="86">
        <f>AE3*O3</f>
        <v>52.756234714003938</v>
      </c>
      <c r="AH3" s="86">
        <f>AF3*Q3</f>
        <v>39.242911242603547</v>
      </c>
      <c r="AI3" s="91">
        <f t="shared" si="1"/>
        <v>9.1179500000000004</v>
      </c>
      <c r="AJ3" s="91">
        <f t="shared" si="1"/>
        <v>1.4662500000000001</v>
      </c>
      <c r="AK3" s="108">
        <v>20000</v>
      </c>
      <c r="AL3" s="108">
        <v>12000</v>
      </c>
      <c r="AM3" s="171">
        <v>10</v>
      </c>
      <c r="AN3" s="171">
        <v>2</v>
      </c>
      <c r="AO3" s="176"/>
      <c r="AP3" s="188">
        <v>44706</v>
      </c>
      <c r="AQ3" s="179" t="s">
        <v>198</v>
      </c>
      <c r="AS3" s="35"/>
    </row>
    <row r="4" spans="2:46" x14ac:dyDescent="0.25">
      <c r="D4" s="23"/>
      <c r="E4" s="23"/>
      <c r="F4" s="23"/>
      <c r="G4" s="82"/>
      <c r="H4" s="182"/>
      <c r="I4" s="184"/>
      <c r="J4" s="47" t="s">
        <v>215</v>
      </c>
      <c r="K4" s="42"/>
      <c r="N4" s="5"/>
      <c r="O4" s="3"/>
      <c r="P4" s="3"/>
      <c r="R4" s="3"/>
      <c r="S4" s="3"/>
      <c r="T4" s="3"/>
      <c r="U4" s="3"/>
      <c r="V4" s="3"/>
      <c r="W4" s="3"/>
      <c r="X4" s="3"/>
      <c r="Y4" s="3"/>
      <c r="Z4" s="3"/>
      <c r="AA4" s="3"/>
      <c r="AE4" s="7"/>
      <c r="AF4" s="7"/>
      <c r="AI4" s="91"/>
      <c r="AJ4" s="91"/>
      <c r="AM4" s="2"/>
      <c r="AN4" s="2"/>
      <c r="AO4" s="7"/>
      <c r="AP4" s="180"/>
    </row>
    <row r="5" spans="2:46" x14ac:dyDescent="0.25">
      <c r="B5" t="s">
        <v>171</v>
      </c>
      <c r="C5" s="174" t="s">
        <v>0</v>
      </c>
      <c r="D5" s="38" t="s">
        <v>40</v>
      </c>
      <c r="E5" s="168" t="s">
        <v>138</v>
      </c>
      <c r="F5" s="38"/>
      <c r="G5" s="80">
        <v>42992</v>
      </c>
      <c r="H5" s="181">
        <f>IF(L5="",M5/K5,L5)</f>
        <v>140</v>
      </c>
      <c r="I5" s="183">
        <f>H5/(N5/K5)</f>
        <v>2.8000000000000001E-2</v>
      </c>
      <c r="J5" s="191">
        <v>44803</v>
      </c>
      <c r="K5" s="100">
        <v>1</v>
      </c>
      <c r="L5" s="105">
        <v>140</v>
      </c>
      <c r="M5" s="105">
        <v>0</v>
      </c>
      <c r="N5" s="106">
        <v>5000</v>
      </c>
      <c r="O5" s="109">
        <v>0.01</v>
      </c>
      <c r="P5" s="165"/>
      <c r="Q5" s="165"/>
      <c r="R5" s="190">
        <v>44734</v>
      </c>
      <c r="S5" s="116">
        <v>455905</v>
      </c>
      <c r="T5" s="169"/>
      <c r="U5" s="190">
        <v>44815</v>
      </c>
      <c r="V5" s="116">
        <v>471202</v>
      </c>
      <c r="W5" s="169"/>
      <c r="X5" s="126">
        <f>(U5-R5)/30.42</f>
        <v>2.6627218934911241</v>
      </c>
      <c r="Y5" s="30">
        <f>V5-S5</f>
        <v>15297</v>
      </c>
      <c r="Z5" s="30">
        <f>W5-T5</f>
        <v>0</v>
      </c>
      <c r="AA5" s="85">
        <f>Y5/X5</f>
        <v>5744.8733333333339</v>
      </c>
      <c r="AB5" s="85">
        <f>Z5/X5</f>
        <v>0</v>
      </c>
      <c r="AC5" s="32">
        <f>AA5-N5/K5</f>
        <v>744.8733333333339</v>
      </c>
      <c r="AD5" s="32">
        <f>AB5-P5/K5</f>
        <v>0</v>
      </c>
      <c r="AE5" s="94">
        <f>AC5*X5</f>
        <v>1983.39053254438</v>
      </c>
      <c r="AF5" s="94">
        <f>AD5*X5</f>
        <v>0</v>
      </c>
      <c r="AG5" s="86">
        <f>AE5*O5</f>
        <v>19.833905325443801</v>
      </c>
      <c r="AH5" s="86">
        <f>AF5*Q5</f>
        <v>0</v>
      </c>
      <c r="AI5" s="91">
        <f>V5/AK5</f>
        <v>23.560099999999998</v>
      </c>
      <c r="AJ5" s="91">
        <f>W5/AL5</f>
        <v>0</v>
      </c>
      <c r="AK5" s="108">
        <v>20000</v>
      </c>
      <c r="AL5" s="108">
        <v>12000</v>
      </c>
      <c r="AM5" s="171">
        <v>10</v>
      </c>
      <c r="AN5" s="171">
        <v>2</v>
      </c>
      <c r="AO5" s="176"/>
      <c r="AP5" s="187"/>
      <c r="AS5" s="35"/>
    </row>
    <row r="6" spans="2:46" x14ac:dyDescent="0.25">
      <c r="D6" s="23"/>
      <c r="E6" s="23"/>
      <c r="F6" s="23"/>
      <c r="G6" s="82"/>
      <c r="H6" s="182"/>
      <c r="I6" s="184"/>
      <c r="J6" s="47" t="s">
        <v>215</v>
      </c>
      <c r="K6" s="42"/>
      <c r="N6" s="5"/>
      <c r="O6" s="3"/>
      <c r="P6" s="3"/>
      <c r="R6" s="3"/>
      <c r="S6" s="3"/>
      <c r="T6" s="3"/>
      <c r="U6" s="3"/>
      <c r="V6" s="3"/>
      <c r="W6" s="3"/>
      <c r="X6" s="3"/>
      <c r="Y6" s="3"/>
      <c r="Z6" s="3"/>
      <c r="AA6" s="3"/>
      <c r="AE6" s="7"/>
      <c r="AF6" s="7"/>
      <c r="AI6" s="91"/>
      <c r="AJ6" s="91"/>
      <c r="AM6" s="2"/>
      <c r="AN6" s="2"/>
      <c r="AO6" s="7"/>
      <c r="AP6" s="180"/>
    </row>
    <row r="7" spans="2:46" x14ac:dyDescent="0.25">
      <c r="B7" s="53" t="s">
        <v>218</v>
      </c>
      <c r="C7" s="53" t="s">
        <v>8</v>
      </c>
      <c r="D7" s="192" t="s">
        <v>69</v>
      </c>
      <c r="E7" s="38"/>
      <c r="F7" s="38"/>
      <c r="G7" s="80">
        <v>43011</v>
      </c>
      <c r="H7" s="181">
        <f>IF(L7="",M7/K7,L7)</f>
        <v>66.666666666666671</v>
      </c>
      <c r="I7" s="183">
        <f>H7/(N7/K7)</f>
        <v>6.6666666666666666E-2</v>
      </c>
      <c r="J7" s="99">
        <v>44834</v>
      </c>
      <c r="K7" s="100">
        <v>3</v>
      </c>
      <c r="L7" s="101"/>
      <c r="M7" s="101">
        <v>200</v>
      </c>
      <c r="N7" s="102">
        <v>3000</v>
      </c>
      <c r="O7" s="108">
        <v>0.01</v>
      </c>
      <c r="P7" s="103">
        <v>300</v>
      </c>
      <c r="Q7" s="173">
        <v>0.09</v>
      </c>
      <c r="R7" s="190">
        <v>44732</v>
      </c>
      <c r="S7" s="116">
        <v>143595</v>
      </c>
      <c r="T7" s="116">
        <v>10893</v>
      </c>
      <c r="U7" s="190">
        <v>44867</v>
      </c>
      <c r="V7" s="116">
        <f>SUM(V8:V9)</f>
        <v>152214</v>
      </c>
      <c r="W7" s="116">
        <f>SUM(W8:W10)</f>
        <v>237684</v>
      </c>
      <c r="X7" s="126">
        <f>(U7-R7)/30.42</f>
        <v>4.4378698224852071</v>
      </c>
      <c r="Y7" s="30">
        <f>V7-S7</f>
        <v>8619</v>
      </c>
      <c r="Z7" s="30">
        <f>W7-T7</f>
        <v>226791</v>
      </c>
      <c r="AA7" s="85">
        <f>Y7/X7</f>
        <v>1942.1479999999999</v>
      </c>
      <c r="AB7" s="85">
        <f>Z7/X7</f>
        <v>51103.572</v>
      </c>
      <c r="AC7" s="32">
        <f>AA7-N7/K7</f>
        <v>942.14799999999991</v>
      </c>
      <c r="AD7" s="32">
        <f>AB7-P7/K7</f>
        <v>51003.572</v>
      </c>
      <c r="AE7" s="94">
        <f>AC7*X7</f>
        <v>4181.1301775147922</v>
      </c>
      <c r="AF7" s="94">
        <f>AD7*X7</f>
        <v>226347.21301775149</v>
      </c>
      <c r="AG7" s="86">
        <f>AE7*O7</f>
        <v>41.811301775147925</v>
      </c>
      <c r="AH7" s="86">
        <f>AF7*Q7</f>
        <v>20371.249171597632</v>
      </c>
      <c r="AI7" s="91">
        <f>V7/AK7</f>
        <v>7.6106999999999996</v>
      </c>
      <c r="AJ7" s="91">
        <f>W7/AL7</f>
        <v>19.806999999999999</v>
      </c>
      <c r="AK7" s="108">
        <v>20000</v>
      </c>
      <c r="AL7" s="108">
        <v>12000</v>
      </c>
      <c r="AM7" s="171">
        <v>6</v>
      </c>
      <c r="AN7" s="171">
        <v>3</v>
      </c>
      <c r="AO7" s="7"/>
      <c r="AP7" s="188">
        <v>44734</v>
      </c>
      <c r="AQ7" t="s">
        <v>206</v>
      </c>
      <c r="AS7" s="35"/>
    </row>
    <row r="8" spans="2:46" x14ac:dyDescent="0.25">
      <c r="D8" s="23"/>
      <c r="E8" s="23"/>
      <c r="F8" s="23"/>
      <c r="G8" s="82"/>
      <c r="H8" s="182"/>
      <c r="I8" s="184"/>
      <c r="J8" s="47" t="s">
        <v>215</v>
      </c>
      <c r="K8" s="42"/>
      <c r="N8" s="5"/>
      <c r="O8" s="3"/>
      <c r="P8" s="3"/>
      <c r="R8" s="3"/>
      <c r="S8" s="3"/>
      <c r="T8" s="3"/>
      <c r="U8" s="3"/>
      <c r="V8">
        <v>147782</v>
      </c>
      <c r="W8" s="3">
        <v>11110</v>
      </c>
      <c r="X8" s="3"/>
      <c r="Y8" s="3"/>
      <c r="Z8" s="3"/>
      <c r="AA8" s="3"/>
      <c r="AE8" s="7"/>
      <c r="AF8" s="7"/>
      <c r="AI8" s="91"/>
      <c r="AJ8" s="91"/>
      <c r="AM8" s="2"/>
      <c r="AN8" s="2"/>
      <c r="AO8" s="7"/>
      <c r="AP8" s="180"/>
    </row>
    <row r="9" spans="2:46" x14ac:dyDescent="0.25">
      <c r="D9" s="23"/>
      <c r="E9" s="23"/>
      <c r="F9" s="23"/>
      <c r="G9" s="82"/>
      <c r="H9" s="182"/>
      <c r="I9" s="184"/>
      <c r="J9" s="47"/>
      <c r="K9" s="42"/>
      <c r="N9" s="5"/>
      <c r="O9" s="3"/>
      <c r="P9" s="3"/>
      <c r="R9" s="3"/>
      <c r="S9" s="3"/>
      <c r="T9" s="3"/>
      <c r="U9" s="3"/>
      <c r="V9" s="198">
        <v>4432</v>
      </c>
      <c r="W9" s="3">
        <v>47</v>
      </c>
      <c r="X9" s="3"/>
      <c r="Y9" s="3"/>
      <c r="Z9" s="3"/>
      <c r="AA9" s="3"/>
      <c r="AE9" s="7"/>
      <c r="AF9" s="7"/>
      <c r="AI9" s="91"/>
      <c r="AJ9" s="91"/>
      <c r="AM9" s="2"/>
      <c r="AN9" s="2"/>
      <c r="AO9" s="7"/>
      <c r="AP9" s="180"/>
    </row>
    <row r="10" spans="2:46" s="200" customFormat="1" x14ac:dyDescent="0.25">
      <c r="B10" s="7" t="s">
        <v>171</v>
      </c>
      <c r="C10" s="201" t="s">
        <v>0</v>
      </c>
      <c r="D10" s="202" t="s">
        <v>13</v>
      </c>
      <c r="E10" s="220"/>
      <c r="F10" s="202" t="s">
        <v>261</v>
      </c>
      <c r="G10" s="202"/>
      <c r="H10" s="203">
        <v>43101</v>
      </c>
      <c r="I10" s="204">
        <f>IF(M10="",N10/L10,M10)</f>
        <v>66.666666666666671</v>
      </c>
      <c r="J10" s="205">
        <f>I10/(O10/L10)</f>
        <v>6.6666666666666666E-2</v>
      </c>
      <c r="K10" s="206">
        <v>44926</v>
      </c>
      <c r="L10" s="207">
        <v>3</v>
      </c>
      <c r="M10" s="208"/>
      <c r="N10" s="208">
        <v>200</v>
      </c>
      <c r="O10" s="209">
        <v>3000</v>
      </c>
      <c r="P10" s="210">
        <v>0.01</v>
      </c>
      <c r="Q10" s="210">
        <v>300</v>
      </c>
      <c r="R10" s="201">
        <v>0.09</v>
      </c>
      <c r="S10" s="211">
        <v>44734</v>
      </c>
      <c r="T10" s="248">
        <v>207448</v>
      </c>
      <c r="U10" s="248">
        <v>25528</v>
      </c>
      <c r="V10" s="211">
        <v>44917</v>
      </c>
      <c r="W10" s="248">
        <v>226527</v>
      </c>
      <c r="X10" s="248">
        <v>27586</v>
      </c>
      <c r="Y10" s="126">
        <f>(V10-S10)/30.42</f>
        <v>6.0157790927021697</v>
      </c>
      <c r="Z10" s="30">
        <f>W10-T10</f>
        <v>19079</v>
      </c>
      <c r="AA10" s="30">
        <f>X10-U10</f>
        <v>2058</v>
      </c>
      <c r="AB10" s="85">
        <f>Z10/Y10</f>
        <v>3171.492786885246</v>
      </c>
      <c r="AC10" s="85">
        <f>AA10/Y10</f>
        <v>342.10032786885245</v>
      </c>
      <c r="AD10" s="32">
        <f>AB10-O10/L10</f>
        <v>2171.492786885246</v>
      </c>
      <c r="AE10" s="32">
        <f>AC10-Q10/L10</f>
        <v>242.10032786885245</v>
      </c>
      <c r="AF10" s="94">
        <f>AD10*Y10</f>
        <v>13063.220907297831</v>
      </c>
      <c r="AG10" s="94">
        <f>AE10*Y10</f>
        <v>1456.4220907297829</v>
      </c>
      <c r="AH10" s="86">
        <f>AF10*P10</f>
        <v>130.63220907297833</v>
      </c>
      <c r="AI10" s="86">
        <f>AG10*R10</f>
        <v>131.07798816568047</v>
      </c>
      <c r="AJ10" s="91"/>
      <c r="AK10" s="91"/>
      <c r="AN10" s="212"/>
      <c r="AO10" s="212"/>
      <c r="AP10" s="212"/>
      <c r="AQ10" s="216"/>
      <c r="AR10" s="200" t="s">
        <v>263</v>
      </c>
      <c r="AT10" s="213"/>
    </row>
  </sheetData>
  <conditionalFormatting sqref="AC1:AH9">
    <cfRule type="cellIs" dxfId="9" priority="6" operator="lessThanOrEqual">
      <formula>0</formula>
    </cfRule>
  </conditionalFormatting>
  <conditionalFormatting sqref="AD10:AI10">
    <cfRule type="cellIs" dxfId="8" priority="3" operator="lessThanOrEqual">
      <formula>0</formula>
    </cfRule>
  </conditionalFormatting>
  <conditionalFormatting sqref="AM1:AM9">
    <cfRule type="expression" dxfId="7" priority="5">
      <formula>$AM1&lt;$AI1</formula>
    </cfRule>
  </conditionalFormatting>
  <conditionalFormatting sqref="AN1:AN9">
    <cfRule type="expression" dxfId="6" priority="4">
      <formula>$AN1&lt;$AJ1</formula>
    </cfRule>
  </conditionalFormatting>
  <conditionalFormatting sqref="AO10">
    <cfRule type="expression" dxfId="5" priority="2">
      <formula>$AO10&lt;$AJ10</formula>
    </cfRule>
  </conditionalFormatting>
  <conditionalFormatting sqref="AP10">
    <cfRule type="expression" dxfId="4" priority="1">
      <formula>$AP10&lt;$AK10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oglio3"/>
  <dimension ref="E3:W17"/>
  <sheetViews>
    <sheetView workbookViewId="0">
      <selection activeCell="E27" sqref="E27"/>
    </sheetView>
  </sheetViews>
  <sheetFormatPr defaultRowHeight="15" x14ac:dyDescent="0.25"/>
  <cols>
    <col min="5" max="5" width="28.42578125" customWidth="1"/>
    <col min="6" max="6" width="11" style="1" bestFit="1" customWidth="1"/>
    <col min="7" max="7" width="11" bestFit="1" customWidth="1"/>
    <col min="18" max="18" width="13.5703125" customWidth="1"/>
  </cols>
  <sheetData>
    <row r="3" spans="5:23" x14ac:dyDescent="0.25">
      <c r="K3" s="254"/>
      <c r="L3" s="255"/>
      <c r="M3" s="255"/>
      <c r="N3" s="255"/>
      <c r="O3" s="255"/>
      <c r="P3" s="255"/>
      <c r="Q3" s="255"/>
      <c r="R3" s="256"/>
      <c r="S3" s="255"/>
      <c r="T3" s="255"/>
      <c r="U3" s="255"/>
      <c r="V3" s="255"/>
      <c r="W3" s="257"/>
    </row>
    <row r="4" spans="5:23" x14ac:dyDescent="0.25">
      <c r="F4" s="197">
        <f>SUM(F6:F8)</f>
        <v>4582</v>
      </c>
      <c r="K4" s="258"/>
      <c r="R4" s="125"/>
      <c r="V4" s="125"/>
      <c r="W4" s="259"/>
    </row>
    <row r="5" spans="5:23" x14ac:dyDescent="0.25">
      <c r="K5" s="258"/>
      <c r="R5" s="125" t="s">
        <v>274</v>
      </c>
      <c r="V5" s="125" t="s">
        <v>275</v>
      </c>
      <c r="W5" s="259"/>
    </row>
    <row r="6" spans="5:23" x14ac:dyDescent="0.25">
      <c r="E6" t="s">
        <v>212</v>
      </c>
      <c r="F6" s="1">
        <v>3317</v>
      </c>
      <c r="K6" s="258"/>
      <c r="R6" s="125"/>
      <c r="V6" s="125"/>
      <c r="W6" s="259"/>
    </row>
    <row r="7" spans="5:23" x14ac:dyDescent="0.25">
      <c r="E7" t="s">
        <v>213</v>
      </c>
      <c r="F7" s="1">
        <v>115</v>
      </c>
      <c r="K7" s="258"/>
      <c r="L7" t="s">
        <v>270</v>
      </c>
      <c r="M7" t="s">
        <v>271</v>
      </c>
      <c r="N7" t="s">
        <v>271</v>
      </c>
      <c r="O7" t="s">
        <v>271</v>
      </c>
      <c r="Q7" t="s">
        <v>272</v>
      </c>
      <c r="R7" s="125"/>
      <c r="S7" t="s">
        <v>273</v>
      </c>
      <c r="V7" s="125"/>
      <c r="W7" s="259"/>
    </row>
    <row r="8" spans="5:23" x14ac:dyDescent="0.25">
      <c r="E8" t="s">
        <v>213</v>
      </c>
      <c r="F8" s="1">
        <f>F7*10</f>
        <v>1150</v>
      </c>
      <c r="K8" s="258" t="s">
        <v>269</v>
      </c>
      <c r="L8" s="7">
        <v>130</v>
      </c>
      <c r="M8">
        <f>L8*3</f>
        <v>390</v>
      </c>
      <c r="N8" s="7">
        <v>5000</v>
      </c>
      <c r="O8">
        <v>6000</v>
      </c>
      <c r="Q8" s="7">
        <f>O8-N8</f>
        <v>1000</v>
      </c>
      <c r="R8" s="125">
        <f>U8*Q8</f>
        <v>10</v>
      </c>
      <c r="S8">
        <f>Q8/3</f>
        <v>333.33333333333331</v>
      </c>
      <c r="U8">
        <v>0.01</v>
      </c>
      <c r="V8" s="125">
        <f>S8*U8</f>
        <v>3.333333333333333</v>
      </c>
      <c r="W8" s="259"/>
    </row>
    <row r="9" spans="5:23" x14ac:dyDescent="0.25">
      <c r="K9" s="258"/>
      <c r="N9" s="7">
        <v>500</v>
      </c>
      <c r="O9">
        <v>12000</v>
      </c>
      <c r="Q9" s="7">
        <f>O9-N9</f>
        <v>11500</v>
      </c>
      <c r="R9" s="125">
        <f>U9*Q9</f>
        <v>920</v>
      </c>
      <c r="S9">
        <f>Q9/3</f>
        <v>3833.3333333333335</v>
      </c>
      <c r="U9">
        <v>0.08</v>
      </c>
      <c r="V9" s="125">
        <f>S9*U9</f>
        <v>306.66666666666669</v>
      </c>
      <c r="W9" s="259"/>
    </row>
    <row r="10" spans="5:23" x14ac:dyDescent="0.25">
      <c r="K10" s="258"/>
      <c r="R10" s="125"/>
      <c r="V10" s="125"/>
      <c r="W10" s="259"/>
    </row>
    <row r="11" spans="5:23" x14ac:dyDescent="0.25">
      <c r="F11" s="1">
        <f>170*48</f>
        <v>8160</v>
      </c>
      <c r="G11" s="35">
        <f>F11-F4</f>
        <v>3578</v>
      </c>
      <c r="K11" s="258"/>
      <c r="R11" s="125"/>
      <c r="V11" s="125"/>
      <c r="W11" s="259"/>
    </row>
    <row r="12" spans="5:23" x14ac:dyDescent="0.25">
      <c r="K12" s="258"/>
      <c r="R12" s="125"/>
      <c r="W12" s="259"/>
    </row>
    <row r="13" spans="5:23" x14ac:dyDescent="0.25">
      <c r="K13" s="258"/>
      <c r="R13" s="125"/>
      <c r="W13" s="259"/>
    </row>
    <row r="14" spans="5:23" x14ac:dyDescent="0.25">
      <c r="K14" s="258"/>
      <c r="W14" s="259"/>
    </row>
    <row r="15" spans="5:23" x14ac:dyDescent="0.25">
      <c r="K15" s="262" t="s">
        <v>276</v>
      </c>
      <c r="L15" s="7"/>
      <c r="M15" s="7"/>
      <c r="O15">
        <f>V8+V9+L8</f>
        <v>440</v>
      </c>
      <c r="W15" s="259"/>
    </row>
    <row r="16" spans="5:23" x14ac:dyDescent="0.25">
      <c r="K16" s="258"/>
      <c r="W16" s="259"/>
    </row>
    <row r="17" spans="11:23" x14ac:dyDescent="0.25">
      <c r="K17" s="260"/>
      <c r="L17" s="261"/>
      <c r="M17" s="261"/>
      <c r="N17" s="261"/>
      <c r="O17" s="261"/>
      <c r="P17" s="261"/>
      <c r="Q17" s="261"/>
      <c r="R17" s="261"/>
      <c r="S17" s="261"/>
      <c r="T17" s="261"/>
      <c r="U17" s="261"/>
      <c r="V17" s="261"/>
      <c r="W17" s="88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oglio4"/>
  <dimension ref="A1:AJ38"/>
  <sheetViews>
    <sheetView zoomScale="85" zoomScaleNormal="85" workbookViewId="0">
      <pane xSplit="3" topLeftCell="D1" activePane="topRight" state="frozen"/>
      <selection pane="topRight" activeCell="B20" sqref="B20"/>
    </sheetView>
  </sheetViews>
  <sheetFormatPr defaultRowHeight="15" x14ac:dyDescent="0.25"/>
  <cols>
    <col min="1" max="1" width="6.42578125" hidden="1" customWidth="1"/>
    <col min="2" max="2" width="6.85546875" customWidth="1"/>
    <col min="3" max="3" width="24.140625" customWidth="1"/>
    <col min="4" max="4" width="14.5703125" style="82" customWidth="1"/>
    <col min="5" max="5" width="17.42578125" style="23" customWidth="1"/>
    <col min="6" max="6" width="7.85546875" style="23" customWidth="1"/>
    <col min="7" max="7" width="12.140625" style="47" customWidth="1"/>
    <col min="8" max="8" width="7" style="42" customWidth="1"/>
    <col min="9" max="9" width="11" bestFit="1" customWidth="1"/>
    <col min="10" max="10" width="10.85546875" customWidth="1"/>
    <col min="11" max="11" width="10.140625" style="5" customWidth="1"/>
    <col min="12" max="12" width="6.42578125" style="3" customWidth="1"/>
    <col min="13" max="13" width="10.7109375" style="3" customWidth="1"/>
    <col min="14" max="14" width="8.7109375" customWidth="1"/>
    <col min="15" max="15" width="11.85546875" style="3" customWidth="1"/>
    <col min="16" max="16" width="9.42578125" style="3" customWidth="1"/>
    <col min="17" max="17" width="9.85546875" style="3" customWidth="1"/>
    <col min="18" max="18" width="12.140625" style="3" customWidth="1"/>
    <col min="19" max="20" width="9.28515625" style="3" bestFit="1" customWidth="1"/>
    <col min="21" max="21" width="11.5703125" style="3" customWidth="1"/>
    <col min="22" max="22" width="9.42578125" style="3" customWidth="1"/>
    <col min="23" max="23" width="9" style="3" customWidth="1"/>
    <col min="24" max="24" width="8.42578125" style="3" customWidth="1"/>
    <col min="25" max="25" width="9.140625" customWidth="1"/>
    <col min="26" max="26" width="9" customWidth="1"/>
    <col min="27" max="27" width="8.5703125" customWidth="1"/>
    <col min="28" max="28" width="9.5703125" style="7" customWidth="1"/>
    <col min="29" max="29" width="8.140625" style="7" customWidth="1"/>
    <col min="30" max="30" width="10.5703125" customWidth="1"/>
    <col min="31" max="31" width="10.28515625" customWidth="1"/>
    <col min="32" max="32" width="16" style="91" customWidth="1"/>
    <col min="33" max="33" width="16.7109375" style="91" customWidth="1"/>
  </cols>
  <sheetData>
    <row r="1" spans="1:36" ht="114" customHeight="1" x14ac:dyDescent="0.25">
      <c r="A1" s="87" t="s">
        <v>109</v>
      </c>
      <c r="B1" s="88"/>
      <c r="C1" s="13" t="s">
        <v>22</v>
      </c>
      <c r="D1" s="79" t="s">
        <v>18</v>
      </c>
      <c r="E1" s="22" t="s">
        <v>17</v>
      </c>
      <c r="F1" s="22" t="s">
        <v>115</v>
      </c>
      <c r="G1" s="79" t="s">
        <v>19</v>
      </c>
      <c r="H1" s="83" t="s">
        <v>70</v>
      </c>
      <c r="I1" s="25" t="s">
        <v>1</v>
      </c>
      <c r="J1" s="84" t="s">
        <v>2</v>
      </c>
      <c r="K1" s="9" t="s">
        <v>59</v>
      </c>
      <c r="L1" s="8" t="s">
        <v>60</v>
      </c>
      <c r="M1" s="92" t="s">
        <v>58</v>
      </c>
      <c r="N1" s="93" t="s">
        <v>108</v>
      </c>
      <c r="O1" s="110" t="s">
        <v>21</v>
      </c>
      <c r="P1" s="110" t="s">
        <v>55</v>
      </c>
      <c r="Q1" s="110" t="s">
        <v>56</v>
      </c>
      <c r="R1" s="111" t="s">
        <v>117</v>
      </c>
      <c r="S1" s="111" t="s">
        <v>52</v>
      </c>
      <c r="T1" s="111" t="s">
        <v>46</v>
      </c>
      <c r="U1" s="31" t="s">
        <v>95</v>
      </c>
      <c r="V1" s="31" t="s">
        <v>67</v>
      </c>
      <c r="W1" s="31" t="s">
        <v>66</v>
      </c>
      <c r="X1" s="26" t="s">
        <v>62</v>
      </c>
      <c r="Y1" s="26" t="s">
        <v>63</v>
      </c>
      <c r="Z1" s="27" t="s">
        <v>64</v>
      </c>
      <c r="AA1" s="27" t="s">
        <v>65</v>
      </c>
      <c r="AB1" s="95" t="s">
        <v>98</v>
      </c>
      <c r="AC1" s="95" t="s">
        <v>99</v>
      </c>
      <c r="AD1" s="27" t="s">
        <v>97</v>
      </c>
      <c r="AE1" s="27" t="s">
        <v>96</v>
      </c>
      <c r="AF1" s="90" t="s">
        <v>110</v>
      </c>
      <c r="AG1" s="90" t="s">
        <v>113</v>
      </c>
      <c r="AH1" s="89" t="s">
        <v>111</v>
      </c>
      <c r="AI1" s="89" t="s">
        <v>112</v>
      </c>
      <c r="AJ1" s="89"/>
    </row>
    <row r="2" spans="1:36" x14ac:dyDescent="0.25">
      <c r="B2" t="s">
        <v>107</v>
      </c>
      <c r="C2" s="48" t="s">
        <v>50</v>
      </c>
      <c r="D2" s="80">
        <v>43734</v>
      </c>
      <c r="E2" s="38" t="s">
        <v>13</v>
      </c>
      <c r="F2" s="38"/>
      <c r="G2" s="99">
        <v>45564</v>
      </c>
      <c r="H2" s="100">
        <v>3</v>
      </c>
      <c r="I2" s="101"/>
      <c r="J2" s="101">
        <v>200</v>
      </c>
      <c r="K2" s="102">
        <v>3000</v>
      </c>
      <c r="L2" s="108">
        <v>0.01</v>
      </c>
      <c r="M2" s="103">
        <v>300</v>
      </c>
      <c r="N2" s="108">
        <v>0.08</v>
      </c>
      <c r="O2" s="112">
        <v>43734</v>
      </c>
      <c r="P2" s="113">
        <v>0</v>
      </c>
      <c r="Q2" s="113">
        <v>0</v>
      </c>
      <c r="R2" s="115">
        <v>43840</v>
      </c>
      <c r="S2" s="116">
        <v>11109</v>
      </c>
      <c r="T2" s="116">
        <v>2605</v>
      </c>
      <c r="U2" s="98">
        <f t="shared" ref="U2:U32" si="0">DAYS360(O2,R2)/30.41</f>
        <v>3.419927655376521</v>
      </c>
      <c r="V2" s="30">
        <f t="shared" ref="V2:V32" si="1">S2-P2</f>
        <v>11109</v>
      </c>
      <c r="W2" s="30">
        <f t="shared" ref="W2:W32" si="2">T2-Q2</f>
        <v>2605</v>
      </c>
      <c r="X2" s="85">
        <f t="shared" ref="X2:X32" si="3">V2/U2</f>
        <v>3248.3143269230768</v>
      </c>
      <c r="Y2" s="85">
        <f t="shared" ref="Y2:Y32" si="4">W2/U2</f>
        <v>761.71201923076922</v>
      </c>
      <c r="Z2" s="32">
        <f t="shared" ref="Z2:Z32" si="5">X2-K2/H2</f>
        <v>2248.3143269230768</v>
      </c>
      <c r="AA2" s="32">
        <f t="shared" ref="AA2:AA32" si="6">Y2-M2/H2</f>
        <v>661.71201923076922</v>
      </c>
      <c r="AB2" s="94">
        <f t="shared" ref="AB2:AB32" si="7">Z2*U2</f>
        <v>7689.0723446234788</v>
      </c>
      <c r="AC2" s="94">
        <f t="shared" ref="AC2:AC32" si="8">AA2*U2</f>
        <v>2263.0072344623482</v>
      </c>
      <c r="AD2" s="86">
        <f t="shared" ref="AD2:AD32" si="9">AB2*L2</f>
        <v>76.890723446234787</v>
      </c>
      <c r="AE2" s="86">
        <f t="shared" ref="AE2:AE32" si="10">AC2*N2</f>
        <v>181.04057875698786</v>
      </c>
      <c r="AF2" s="91">
        <f t="shared" ref="AF2" si="11">S2/AH2</f>
        <v>0.55545</v>
      </c>
      <c r="AG2" s="91">
        <f t="shared" ref="AG2" si="12">T2/AI2</f>
        <v>0.21708333333333332</v>
      </c>
      <c r="AH2" s="108">
        <v>20000</v>
      </c>
      <c r="AI2" s="108">
        <v>12000</v>
      </c>
    </row>
    <row r="3" spans="1:36" x14ac:dyDescent="0.25">
      <c r="B3" t="s">
        <v>107</v>
      </c>
      <c r="C3" s="48" t="s">
        <v>100</v>
      </c>
      <c r="D3" s="80">
        <v>43668</v>
      </c>
      <c r="E3" s="38" t="s">
        <v>125</v>
      </c>
      <c r="F3" s="38"/>
      <c r="G3" s="99">
        <v>44764</v>
      </c>
      <c r="H3" s="100">
        <v>1</v>
      </c>
      <c r="I3" s="101">
        <v>49</v>
      </c>
      <c r="J3" s="101"/>
      <c r="K3" s="102">
        <v>2000</v>
      </c>
      <c r="L3" s="108">
        <v>0.01</v>
      </c>
      <c r="M3" s="103"/>
      <c r="N3" s="108"/>
      <c r="O3" s="121">
        <v>43668</v>
      </c>
      <c r="P3" s="120">
        <v>0</v>
      </c>
      <c r="Q3" s="120">
        <v>0</v>
      </c>
      <c r="R3" s="115">
        <v>43824</v>
      </c>
      <c r="S3" s="116">
        <v>18943</v>
      </c>
      <c r="T3" s="114"/>
      <c r="U3" s="98">
        <f t="shared" si="0"/>
        <v>5.0312397237750739</v>
      </c>
      <c r="V3" s="30">
        <f t="shared" si="1"/>
        <v>18943</v>
      </c>
      <c r="W3" s="30">
        <f t="shared" si="2"/>
        <v>0</v>
      </c>
      <c r="X3" s="85">
        <f t="shared" si="3"/>
        <v>3765.0760130718954</v>
      </c>
      <c r="Y3" s="85">
        <f t="shared" si="4"/>
        <v>0</v>
      </c>
      <c r="Z3" s="32">
        <f t="shared" si="5"/>
        <v>1765.0760130718954</v>
      </c>
      <c r="AA3" s="32">
        <f t="shared" si="6"/>
        <v>0</v>
      </c>
      <c r="AB3" s="94">
        <f t="shared" si="7"/>
        <v>8880.5205524498524</v>
      </c>
      <c r="AC3" s="94">
        <f t="shared" si="8"/>
        <v>0</v>
      </c>
      <c r="AD3" s="86">
        <f t="shared" si="9"/>
        <v>88.805205524498533</v>
      </c>
      <c r="AE3" s="86">
        <f t="shared" si="10"/>
        <v>0</v>
      </c>
      <c r="AF3" s="91">
        <f t="shared" ref="AF3" si="13">S3/AH3</f>
        <v>0.94715000000000005</v>
      </c>
      <c r="AG3" s="91">
        <f t="shared" ref="AG3" si="14">T3/AI3</f>
        <v>0</v>
      </c>
      <c r="AH3" s="108">
        <v>20000</v>
      </c>
      <c r="AI3" s="108">
        <v>12000</v>
      </c>
    </row>
    <row r="4" spans="1:36" x14ac:dyDescent="0.25">
      <c r="B4" t="s">
        <v>107</v>
      </c>
      <c r="C4" s="48" t="s">
        <v>100</v>
      </c>
      <c r="D4" s="80">
        <v>43474</v>
      </c>
      <c r="E4" s="38" t="s">
        <v>13</v>
      </c>
      <c r="F4" s="38" t="s">
        <v>119</v>
      </c>
      <c r="G4" s="99">
        <v>45291</v>
      </c>
      <c r="H4" s="100">
        <v>1</v>
      </c>
      <c r="I4" s="101">
        <v>66.66</v>
      </c>
      <c r="J4" s="101">
        <v>0</v>
      </c>
      <c r="K4" s="102">
        <v>1000</v>
      </c>
      <c r="L4" s="108">
        <v>0.01</v>
      </c>
      <c r="M4" s="103">
        <v>100</v>
      </c>
      <c r="N4" s="108">
        <v>0.08</v>
      </c>
      <c r="O4" s="115">
        <v>43641</v>
      </c>
      <c r="P4" s="116">
        <v>30737</v>
      </c>
      <c r="Q4" s="116">
        <v>5980</v>
      </c>
      <c r="R4" s="117">
        <v>43830</v>
      </c>
      <c r="S4" s="118">
        <v>44129</v>
      </c>
      <c r="T4" s="118">
        <v>10900</v>
      </c>
      <c r="U4" s="98">
        <f t="shared" si="0"/>
        <v>6.1164090759618546</v>
      </c>
      <c r="V4" s="30">
        <f t="shared" si="1"/>
        <v>13392</v>
      </c>
      <c r="W4" s="30">
        <f t="shared" si="2"/>
        <v>4920</v>
      </c>
      <c r="X4" s="85">
        <f t="shared" si="3"/>
        <v>2189.52</v>
      </c>
      <c r="Y4" s="85">
        <f t="shared" si="4"/>
        <v>804.39354838709676</v>
      </c>
      <c r="Z4" s="32">
        <f t="shared" si="5"/>
        <v>1189.52</v>
      </c>
      <c r="AA4" s="32">
        <f t="shared" si="6"/>
        <v>704.39354838709676</v>
      </c>
      <c r="AB4" s="94">
        <f t="shared" si="7"/>
        <v>7275.5909240381452</v>
      </c>
      <c r="AC4" s="94">
        <f t="shared" si="8"/>
        <v>4308.3590924038144</v>
      </c>
      <c r="AD4" s="86">
        <f t="shared" si="9"/>
        <v>72.755909240381456</v>
      </c>
      <c r="AE4" s="86">
        <f t="shared" si="10"/>
        <v>344.66872739230519</v>
      </c>
      <c r="AF4" s="91">
        <f t="shared" ref="AF4:AF5" si="15">S4/AH4</f>
        <v>1.7651600000000001</v>
      </c>
      <c r="AG4" s="91">
        <f t="shared" ref="AG4:AG5" si="16">T4/AI4</f>
        <v>0.90833333333333333</v>
      </c>
      <c r="AH4" s="108">
        <v>25000</v>
      </c>
      <c r="AI4" s="108">
        <v>12000</v>
      </c>
    </row>
    <row r="5" spans="1:36" x14ac:dyDescent="0.25">
      <c r="B5" t="s">
        <v>107</v>
      </c>
      <c r="C5" s="48" t="s">
        <v>100</v>
      </c>
      <c r="D5" s="80">
        <v>44014</v>
      </c>
      <c r="E5" s="38" t="s">
        <v>118</v>
      </c>
      <c r="F5" s="38" t="s">
        <v>120</v>
      </c>
      <c r="G5" s="99">
        <v>45474</v>
      </c>
      <c r="H5" s="100">
        <v>1</v>
      </c>
      <c r="I5" s="101">
        <v>90</v>
      </c>
      <c r="J5" s="101"/>
      <c r="K5" s="102">
        <v>5000</v>
      </c>
      <c r="L5" s="108">
        <v>0.01</v>
      </c>
      <c r="M5" s="103"/>
      <c r="N5" s="108"/>
      <c r="O5" s="119">
        <v>43648</v>
      </c>
      <c r="P5" s="120">
        <v>0</v>
      </c>
      <c r="Q5" s="120">
        <v>0</v>
      </c>
      <c r="R5" s="115">
        <v>43828</v>
      </c>
      <c r="S5" s="116">
        <v>46902</v>
      </c>
      <c r="T5" s="114"/>
      <c r="U5" s="98">
        <f>(DAYS360(O5,R5)/30.41)</f>
        <v>5.8204537980927329</v>
      </c>
      <c r="V5" s="30">
        <f t="shared" si="1"/>
        <v>46902</v>
      </c>
      <c r="W5" s="30">
        <f t="shared" si="2"/>
        <v>0</v>
      </c>
      <c r="X5" s="85">
        <f t="shared" si="3"/>
        <v>8058.1345762711862</v>
      </c>
      <c r="Y5" s="85">
        <f t="shared" si="4"/>
        <v>0</v>
      </c>
      <c r="Z5" s="32">
        <f t="shared" si="5"/>
        <v>3058.1345762711862</v>
      </c>
      <c r="AA5" s="32">
        <f t="shared" si="6"/>
        <v>0</v>
      </c>
      <c r="AB5" s="94">
        <f t="shared" si="7"/>
        <v>17799.731009536335</v>
      </c>
      <c r="AC5" s="94">
        <f t="shared" si="8"/>
        <v>0</v>
      </c>
      <c r="AD5" s="86">
        <f t="shared" si="9"/>
        <v>177.99731009536336</v>
      </c>
      <c r="AE5" s="86">
        <f t="shared" si="10"/>
        <v>0</v>
      </c>
      <c r="AF5" s="91">
        <f t="shared" si="15"/>
        <v>1.87608</v>
      </c>
      <c r="AG5" s="91">
        <f t="shared" si="16"/>
        <v>0</v>
      </c>
      <c r="AH5" s="108">
        <v>25000</v>
      </c>
      <c r="AI5" s="108">
        <v>12000</v>
      </c>
    </row>
    <row r="6" spans="1:36" ht="15.75" thickBot="1" x14ac:dyDescent="0.3">
      <c r="B6" t="s">
        <v>107</v>
      </c>
      <c r="C6" s="48" t="s">
        <v>100</v>
      </c>
      <c r="D6" s="80">
        <v>43648</v>
      </c>
      <c r="E6" s="38" t="s">
        <v>118</v>
      </c>
      <c r="F6" s="38" t="s">
        <v>121</v>
      </c>
      <c r="G6" s="99">
        <v>45474</v>
      </c>
      <c r="H6" s="100">
        <v>1</v>
      </c>
      <c r="I6" s="101">
        <v>90</v>
      </c>
      <c r="J6" s="101"/>
      <c r="K6" s="102">
        <v>5000</v>
      </c>
      <c r="L6" s="108">
        <v>0.01</v>
      </c>
      <c r="M6" s="103"/>
      <c r="N6" s="108"/>
      <c r="O6" s="121">
        <v>43648</v>
      </c>
      <c r="P6" s="120">
        <v>0</v>
      </c>
      <c r="Q6" s="120">
        <v>0</v>
      </c>
      <c r="R6" s="139">
        <v>43828</v>
      </c>
      <c r="S6" s="116">
        <v>32444</v>
      </c>
      <c r="T6" s="114"/>
      <c r="U6" s="98">
        <f t="shared" si="0"/>
        <v>5.8204537980927329</v>
      </c>
      <c r="V6" s="30">
        <f t="shared" si="1"/>
        <v>32444</v>
      </c>
      <c r="W6" s="30">
        <f t="shared" si="2"/>
        <v>0</v>
      </c>
      <c r="X6" s="85">
        <f t="shared" si="3"/>
        <v>5574.1358192090393</v>
      </c>
      <c r="Y6" s="85">
        <f t="shared" si="4"/>
        <v>0</v>
      </c>
      <c r="Z6" s="32">
        <f t="shared" si="5"/>
        <v>574.13581920903925</v>
      </c>
      <c r="AA6" s="32">
        <f t="shared" si="6"/>
        <v>0</v>
      </c>
      <c r="AB6" s="94">
        <f t="shared" si="7"/>
        <v>3341.731009536335</v>
      </c>
      <c r="AC6" s="94">
        <f t="shared" si="8"/>
        <v>0</v>
      </c>
      <c r="AD6" s="86">
        <f t="shared" si="9"/>
        <v>33.417310095363348</v>
      </c>
      <c r="AE6" s="86">
        <f t="shared" si="10"/>
        <v>0</v>
      </c>
      <c r="AF6" s="91">
        <f t="shared" ref="AF6" si="17">S6/AH6</f>
        <v>1.6222000000000001</v>
      </c>
      <c r="AG6" s="91">
        <f t="shared" ref="AG6" si="18">T6/AI6</f>
        <v>0</v>
      </c>
      <c r="AH6" s="108">
        <v>20000</v>
      </c>
      <c r="AI6" s="108">
        <v>12000</v>
      </c>
    </row>
    <row r="7" spans="1:36" s="141" customFormat="1" ht="15.75" thickBot="1" x14ac:dyDescent="0.3">
      <c r="B7" s="141" t="s">
        <v>107</v>
      </c>
      <c r="C7" s="142" t="s">
        <v>122</v>
      </c>
      <c r="D7" s="143">
        <v>43704</v>
      </c>
      <c r="E7" s="144" t="s">
        <v>13</v>
      </c>
      <c r="F7" s="144"/>
      <c r="G7" s="145">
        <v>45531</v>
      </c>
      <c r="H7" s="146">
        <v>3</v>
      </c>
      <c r="I7" s="147"/>
      <c r="J7" s="147">
        <v>207</v>
      </c>
      <c r="K7" s="148">
        <v>3000</v>
      </c>
      <c r="L7" s="149">
        <v>0.01</v>
      </c>
      <c r="M7" s="150">
        <v>300</v>
      </c>
      <c r="N7" s="149">
        <v>0.08</v>
      </c>
      <c r="O7" s="151">
        <v>43801</v>
      </c>
      <c r="P7" s="152">
        <v>4151</v>
      </c>
      <c r="Q7" s="153">
        <v>735</v>
      </c>
      <c r="R7" s="154">
        <v>43921</v>
      </c>
      <c r="S7" s="155">
        <v>10355</v>
      </c>
      <c r="T7" s="156">
        <v>1479</v>
      </c>
      <c r="U7" s="157">
        <f t="shared" si="0"/>
        <v>3.9131864518250574</v>
      </c>
      <c r="V7" s="158">
        <f t="shared" si="1"/>
        <v>6204</v>
      </c>
      <c r="W7" s="158">
        <f t="shared" si="2"/>
        <v>744</v>
      </c>
      <c r="X7" s="159">
        <f t="shared" si="3"/>
        <v>1585.4087394957983</v>
      </c>
      <c r="Y7" s="159">
        <f t="shared" si="4"/>
        <v>190.12638655462186</v>
      </c>
      <c r="Z7" s="160">
        <f t="shared" si="5"/>
        <v>585.40873949579827</v>
      </c>
      <c r="AA7" s="160">
        <f t="shared" si="6"/>
        <v>90.12638655462186</v>
      </c>
      <c r="AB7" s="161">
        <f t="shared" si="7"/>
        <v>2290.8135481749423</v>
      </c>
      <c r="AC7" s="161">
        <f t="shared" si="8"/>
        <v>352.68135481749425</v>
      </c>
      <c r="AD7" s="162">
        <f t="shared" si="9"/>
        <v>22.908135481749422</v>
      </c>
      <c r="AE7" s="162">
        <f t="shared" si="10"/>
        <v>28.21450838539954</v>
      </c>
      <c r="AF7" s="163">
        <f t="shared" ref="AF7" si="19">S7/AH7</f>
        <v>0.51775000000000004</v>
      </c>
      <c r="AG7" s="163">
        <f t="shared" ref="AG7" si="20">T7/AI7</f>
        <v>0.12325</v>
      </c>
      <c r="AH7" s="149">
        <v>20000</v>
      </c>
      <c r="AI7" s="149">
        <v>12000</v>
      </c>
    </row>
    <row r="8" spans="1:36" x14ac:dyDescent="0.25">
      <c r="B8" t="s">
        <v>107</v>
      </c>
      <c r="C8" s="48" t="s">
        <v>80</v>
      </c>
      <c r="D8" s="80">
        <v>43340</v>
      </c>
      <c r="E8" s="38" t="s">
        <v>13</v>
      </c>
      <c r="F8" s="38"/>
      <c r="G8" s="99">
        <v>45168</v>
      </c>
      <c r="H8" s="100">
        <v>3</v>
      </c>
      <c r="I8" s="101"/>
      <c r="J8" s="101">
        <v>200</v>
      </c>
      <c r="K8" s="102">
        <v>3000</v>
      </c>
      <c r="L8" s="108">
        <v>0.01</v>
      </c>
      <c r="M8" s="103">
        <v>300</v>
      </c>
      <c r="N8" s="108">
        <v>0.08</v>
      </c>
      <c r="O8" s="115">
        <v>43640</v>
      </c>
      <c r="P8" s="116">
        <v>6215</v>
      </c>
      <c r="Q8" s="116">
        <v>14118</v>
      </c>
      <c r="R8" s="140">
        <v>43829</v>
      </c>
      <c r="S8" s="116">
        <v>17630</v>
      </c>
      <c r="T8" s="118">
        <v>16282</v>
      </c>
      <c r="U8" s="98">
        <f t="shared" si="0"/>
        <v>6.1164090759618546</v>
      </c>
      <c r="V8" s="30">
        <f t="shared" si="1"/>
        <v>11415</v>
      </c>
      <c r="W8" s="30">
        <f t="shared" si="2"/>
        <v>2164</v>
      </c>
      <c r="X8" s="85">
        <f t="shared" si="3"/>
        <v>1866.2911290322581</v>
      </c>
      <c r="Y8" s="85">
        <f t="shared" si="4"/>
        <v>353.80236559139786</v>
      </c>
      <c r="Z8" s="32">
        <f t="shared" si="5"/>
        <v>866.29112903225814</v>
      </c>
      <c r="AA8" s="32">
        <f t="shared" si="6"/>
        <v>253.80236559139786</v>
      </c>
      <c r="AB8" s="94">
        <f t="shared" si="7"/>
        <v>5298.5909240381461</v>
      </c>
      <c r="AC8" s="94">
        <f t="shared" si="8"/>
        <v>1552.3590924038147</v>
      </c>
      <c r="AD8" s="86">
        <f t="shared" si="9"/>
        <v>52.98590924038146</v>
      </c>
      <c r="AE8" s="86">
        <f t="shared" si="10"/>
        <v>124.18872739230518</v>
      </c>
      <c r="AF8" s="91">
        <f t="shared" ref="AF8" si="21">S8/AH8</f>
        <v>0.88149999999999995</v>
      </c>
      <c r="AG8" s="91">
        <f t="shared" ref="AG8" si="22">T8/AI8</f>
        <v>1.3568333333333333</v>
      </c>
      <c r="AH8" s="108">
        <v>20000</v>
      </c>
      <c r="AI8" s="108">
        <v>12000</v>
      </c>
    </row>
    <row r="9" spans="1:36" x14ac:dyDescent="0.25">
      <c r="B9" t="s">
        <v>107</v>
      </c>
      <c r="C9" s="48" t="s">
        <v>47</v>
      </c>
      <c r="D9" s="80">
        <v>43223</v>
      </c>
      <c r="E9" s="38" t="s">
        <v>13</v>
      </c>
      <c r="F9" s="38"/>
      <c r="G9" s="99">
        <v>45046</v>
      </c>
      <c r="H9" s="100">
        <v>3</v>
      </c>
      <c r="I9" s="101"/>
      <c r="J9" s="101">
        <v>200</v>
      </c>
      <c r="K9" s="102">
        <v>3000</v>
      </c>
      <c r="L9" s="108">
        <v>0.01</v>
      </c>
      <c r="M9" s="103">
        <v>300</v>
      </c>
      <c r="N9" s="108">
        <v>0.08</v>
      </c>
      <c r="O9" s="115">
        <v>43641</v>
      </c>
      <c r="P9" s="116">
        <v>10273</v>
      </c>
      <c r="Q9" s="116">
        <v>5400</v>
      </c>
      <c r="R9" s="117">
        <v>43829</v>
      </c>
      <c r="S9" s="116">
        <v>13377</v>
      </c>
      <c r="T9" s="118">
        <v>7434</v>
      </c>
      <c r="U9" s="98">
        <f t="shared" si="0"/>
        <v>6.0835251561986192</v>
      </c>
      <c r="V9" s="30">
        <f t="shared" si="1"/>
        <v>3104</v>
      </c>
      <c r="W9" s="30">
        <f t="shared" si="2"/>
        <v>2034</v>
      </c>
      <c r="X9" s="85">
        <f t="shared" si="3"/>
        <v>510.23048648648648</v>
      </c>
      <c r="Y9" s="85">
        <f t="shared" si="4"/>
        <v>334.3456216216216</v>
      </c>
      <c r="Z9" s="32">
        <f t="shared" si="5"/>
        <v>-489.76951351351352</v>
      </c>
      <c r="AA9" s="32">
        <f t="shared" si="6"/>
        <v>234.3456216216216</v>
      </c>
      <c r="AB9" s="94">
        <f t="shared" si="7"/>
        <v>-2979.5251561986192</v>
      </c>
      <c r="AC9" s="94">
        <f t="shared" si="8"/>
        <v>1425.6474843801382</v>
      </c>
      <c r="AD9" s="86">
        <f t="shared" si="9"/>
        <v>-29.795251561986191</v>
      </c>
      <c r="AE9" s="86">
        <f t="shared" si="10"/>
        <v>114.05179875041105</v>
      </c>
      <c r="AF9" s="91">
        <f t="shared" ref="AF9:AF32" si="23">S9/AH9</f>
        <v>0.66884999999999994</v>
      </c>
      <c r="AG9" s="91">
        <f t="shared" ref="AG9:AG32" si="24">T9/AI9</f>
        <v>0.61950000000000005</v>
      </c>
      <c r="AH9" s="108">
        <v>20000</v>
      </c>
      <c r="AI9" s="108">
        <v>12000</v>
      </c>
    </row>
    <row r="10" spans="1:36" x14ac:dyDescent="0.25">
      <c r="B10" t="s">
        <v>107</v>
      </c>
      <c r="C10" s="48" t="s">
        <v>126</v>
      </c>
      <c r="D10" s="80">
        <v>43864</v>
      </c>
      <c r="E10" s="38" t="s">
        <v>124</v>
      </c>
      <c r="F10" s="38"/>
      <c r="G10" s="99">
        <v>45691</v>
      </c>
      <c r="H10" s="100">
        <v>3</v>
      </c>
      <c r="I10" s="101"/>
      <c r="J10" s="101">
        <v>200</v>
      </c>
      <c r="K10" s="102">
        <v>3000</v>
      </c>
      <c r="L10" s="108">
        <v>0.01</v>
      </c>
      <c r="M10" s="103">
        <v>300</v>
      </c>
      <c r="N10" s="108">
        <v>0.08</v>
      </c>
      <c r="O10" s="115">
        <v>43864</v>
      </c>
      <c r="P10" s="116"/>
      <c r="Q10" s="116"/>
      <c r="R10" s="117"/>
      <c r="S10" s="116"/>
      <c r="T10" s="118"/>
      <c r="U10" s="98"/>
      <c r="V10" s="30"/>
      <c r="W10" s="30"/>
      <c r="X10" s="85"/>
      <c r="Y10" s="85"/>
      <c r="Z10" s="32"/>
      <c r="AA10" s="32"/>
      <c r="AB10" s="94"/>
      <c r="AC10" s="94"/>
      <c r="AD10" s="86"/>
      <c r="AE10" s="86"/>
      <c r="AH10" s="108"/>
      <c r="AI10" s="108"/>
    </row>
    <row r="11" spans="1:36" x14ac:dyDescent="0.25">
      <c r="B11" t="s">
        <v>116</v>
      </c>
      <c r="C11" s="164" t="s">
        <v>48</v>
      </c>
      <c r="D11" s="80">
        <v>43202</v>
      </c>
      <c r="E11" s="38" t="s">
        <v>13</v>
      </c>
      <c r="F11" s="38"/>
      <c r="G11" s="99">
        <v>45015</v>
      </c>
      <c r="H11" s="100">
        <v>3</v>
      </c>
      <c r="I11" s="101"/>
      <c r="J11" s="101">
        <v>200</v>
      </c>
      <c r="K11" s="102">
        <v>3000</v>
      </c>
      <c r="L11" s="108">
        <v>0.01</v>
      </c>
      <c r="M11" s="103">
        <v>300</v>
      </c>
      <c r="N11" s="108">
        <v>0.09</v>
      </c>
      <c r="O11" s="115">
        <v>43640</v>
      </c>
      <c r="P11" s="116">
        <v>30934</v>
      </c>
      <c r="Q11" s="116">
        <v>950</v>
      </c>
      <c r="R11" s="117">
        <v>43829</v>
      </c>
      <c r="S11" s="116">
        <v>42990</v>
      </c>
      <c r="T11" s="118">
        <v>1522</v>
      </c>
      <c r="U11" s="98">
        <f t="shared" si="0"/>
        <v>6.1164090759618546</v>
      </c>
      <c r="V11" s="30">
        <f t="shared" si="1"/>
        <v>12056</v>
      </c>
      <c r="W11" s="30">
        <f t="shared" si="2"/>
        <v>572</v>
      </c>
      <c r="X11" s="85">
        <f t="shared" si="3"/>
        <v>1971.0911827956988</v>
      </c>
      <c r="Y11" s="85">
        <f t="shared" si="4"/>
        <v>93.518924731182793</v>
      </c>
      <c r="Z11" s="32">
        <f t="shared" si="5"/>
        <v>971.09118279569884</v>
      </c>
      <c r="AA11" s="32">
        <f t="shared" si="6"/>
        <v>-6.4810752688172073</v>
      </c>
      <c r="AB11" s="94">
        <f t="shared" si="7"/>
        <v>5939.5909240381452</v>
      </c>
      <c r="AC11" s="94">
        <f t="shared" si="8"/>
        <v>-39.640907596185485</v>
      </c>
      <c r="AD11" s="86">
        <f t="shared" si="9"/>
        <v>59.395909240381457</v>
      </c>
      <c r="AE11" s="86">
        <f t="shared" si="10"/>
        <v>-3.5676816836566934</v>
      </c>
      <c r="AF11" s="91">
        <f t="shared" si="23"/>
        <v>2.1495000000000002</v>
      </c>
      <c r="AG11" s="91">
        <f t="shared" si="24"/>
        <v>0.12683333333333333</v>
      </c>
      <c r="AH11" s="108">
        <v>20000</v>
      </c>
      <c r="AI11" s="108">
        <v>12000</v>
      </c>
    </row>
    <row r="12" spans="1:36" x14ac:dyDescent="0.25">
      <c r="B12" t="s">
        <v>107</v>
      </c>
      <c r="C12" s="48" t="s">
        <v>53</v>
      </c>
      <c r="D12" s="80">
        <v>43270</v>
      </c>
      <c r="E12" s="38" t="s">
        <v>13</v>
      </c>
      <c r="F12" s="38"/>
      <c r="G12" s="99">
        <v>45076</v>
      </c>
      <c r="H12" s="100">
        <v>3</v>
      </c>
      <c r="I12" s="101"/>
      <c r="J12" s="101">
        <v>200</v>
      </c>
      <c r="K12" s="102">
        <v>3000</v>
      </c>
      <c r="L12" s="108">
        <v>0.01</v>
      </c>
      <c r="M12" s="103">
        <v>300</v>
      </c>
      <c r="N12" s="108">
        <v>0.08</v>
      </c>
      <c r="O12" s="115">
        <v>43640</v>
      </c>
      <c r="P12" s="116">
        <v>25491</v>
      </c>
      <c r="Q12" s="116">
        <v>17629</v>
      </c>
      <c r="R12" s="117">
        <v>43829</v>
      </c>
      <c r="S12" s="116">
        <v>49133</v>
      </c>
      <c r="T12" s="118">
        <v>20020</v>
      </c>
      <c r="U12" s="98">
        <f t="shared" si="0"/>
        <v>6.1164090759618546</v>
      </c>
      <c r="V12" s="30">
        <f t="shared" si="1"/>
        <v>23642</v>
      </c>
      <c r="W12" s="30">
        <f t="shared" si="2"/>
        <v>2391</v>
      </c>
      <c r="X12" s="85">
        <f t="shared" si="3"/>
        <v>3865.3398924731182</v>
      </c>
      <c r="Y12" s="85">
        <f t="shared" si="4"/>
        <v>390.91564516129034</v>
      </c>
      <c r="Z12" s="32">
        <f t="shared" si="5"/>
        <v>2865.3398924731182</v>
      </c>
      <c r="AA12" s="32">
        <f t="shared" si="6"/>
        <v>290.91564516129034</v>
      </c>
      <c r="AB12" s="94">
        <f t="shared" si="7"/>
        <v>17525.590924038144</v>
      </c>
      <c r="AC12" s="94">
        <f t="shared" si="8"/>
        <v>1779.3590924038147</v>
      </c>
      <c r="AD12" s="86">
        <f t="shared" si="9"/>
        <v>175.25590924038144</v>
      </c>
      <c r="AE12" s="86">
        <f t="shared" si="10"/>
        <v>142.34872739230516</v>
      </c>
      <c r="AF12" s="91">
        <f t="shared" si="23"/>
        <v>2.4566499999999998</v>
      </c>
      <c r="AG12" s="91">
        <f t="shared" si="24"/>
        <v>1.6683333333333332</v>
      </c>
      <c r="AH12" s="108">
        <v>20000</v>
      </c>
      <c r="AI12" s="108">
        <v>12000</v>
      </c>
    </row>
    <row r="13" spans="1:36" x14ac:dyDescent="0.25">
      <c r="B13" t="s">
        <v>107</v>
      </c>
      <c r="C13" s="48" t="s">
        <v>51</v>
      </c>
      <c r="D13" s="80">
        <v>43251</v>
      </c>
      <c r="E13" s="38" t="s">
        <v>13</v>
      </c>
      <c r="F13" s="38"/>
      <c r="G13" s="99">
        <v>45077</v>
      </c>
      <c r="H13" s="100">
        <v>3</v>
      </c>
      <c r="I13" s="101"/>
      <c r="J13" s="101">
        <v>200</v>
      </c>
      <c r="K13" s="102">
        <v>3000</v>
      </c>
      <c r="L13" s="108">
        <v>0.01</v>
      </c>
      <c r="M13" s="103">
        <v>300</v>
      </c>
      <c r="N13" s="108">
        <v>0.09</v>
      </c>
      <c r="O13" s="115">
        <v>43640</v>
      </c>
      <c r="P13" s="116">
        <v>7942</v>
      </c>
      <c r="Q13" s="116">
        <v>9576</v>
      </c>
      <c r="R13" s="117">
        <v>43822</v>
      </c>
      <c r="S13" s="116">
        <v>10600</v>
      </c>
      <c r="T13" s="118">
        <v>15429</v>
      </c>
      <c r="U13" s="98">
        <f t="shared" si="0"/>
        <v>5.8862216376192045</v>
      </c>
      <c r="V13" s="30">
        <f t="shared" si="1"/>
        <v>2658</v>
      </c>
      <c r="W13" s="30">
        <f t="shared" si="2"/>
        <v>5853</v>
      </c>
      <c r="X13" s="85">
        <f t="shared" si="3"/>
        <v>451.56301675977653</v>
      </c>
      <c r="Y13" s="85">
        <f t="shared" si="4"/>
        <v>994.35603351955308</v>
      </c>
      <c r="Z13" s="32">
        <f t="shared" si="5"/>
        <v>-548.43698324022353</v>
      </c>
      <c r="AA13" s="32">
        <f t="shared" si="6"/>
        <v>894.35603351955308</v>
      </c>
      <c r="AB13" s="94">
        <f t="shared" si="7"/>
        <v>-3228.2216376192046</v>
      </c>
      <c r="AC13" s="94">
        <f t="shared" si="8"/>
        <v>5264.3778362380799</v>
      </c>
      <c r="AD13" s="86">
        <f t="shared" si="9"/>
        <v>-32.282216376192046</v>
      </c>
      <c r="AE13" s="86">
        <f t="shared" si="10"/>
        <v>473.79400526142717</v>
      </c>
      <c r="AF13" s="91">
        <f t="shared" si="23"/>
        <v>0.53</v>
      </c>
      <c r="AG13" s="91">
        <f t="shared" si="24"/>
        <v>1.2857499999999999</v>
      </c>
      <c r="AH13" s="108">
        <v>20000</v>
      </c>
      <c r="AI13" s="108">
        <v>12000</v>
      </c>
    </row>
    <row r="14" spans="1:36" x14ac:dyDescent="0.25">
      <c r="B14" t="s">
        <v>107</v>
      </c>
      <c r="C14" s="48" t="s">
        <v>16</v>
      </c>
      <c r="D14" s="80">
        <v>43109</v>
      </c>
      <c r="E14" s="38" t="s">
        <v>13</v>
      </c>
      <c r="F14" s="38"/>
      <c r="G14" s="99">
        <v>44926</v>
      </c>
      <c r="H14" s="100">
        <v>3</v>
      </c>
      <c r="I14" s="101"/>
      <c r="J14" s="101">
        <v>200</v>
      </c>
      <c r="K14" s="102">
        <v>3000</v>
      </c>
      <c r="L14" s="108">
        <v>0.01</v>
      </c>
      <c r="M14" s="103">
        <v>300</v>
      </c>
      <c r="N14" s="108">
        <v>0.09</v>
      </c>
      <c r="O14" s="115">
        <v>43641</v>
      </c>
      <c r="P14" s="116">
        <v>9379</v>
      </c>
      <c r="Q14" s="116">
        <v>2099</v>
      </c>
      <c r="R14" s="117">
        <v>43829</v>
      </c>
      <c r="S14" s="116">
        <v>11487</v>
      </c>
      <c r="T14" s="118">
        <v>2499</v>
      </c>
      <c r="U14" s="98">
        <f t="shared" si="0"/>
        <v>6.0835251561986192</v>
      </c>
      <c r="V14" s="30">
        <f t="shared" si="1"/>
        <v>2108</v>
      </c>
      <c r="W14" s="30">
        <f t="shared" si="2"/>
        <v>400</v>
      </c>
      <c r="X14" s="85">
        <f t="shared" si="3"/>
        <v>346.50962162162159</v>
      </c>
      <c r="Y14" s="85">
        <f t="shared" si="4"/>
        <v>65.751351351351346</v>
      </c>
      <c r="Z14" s="32">
        <f t="shared" si="5"/>
        <v>-653.49037837837841</v>
      </c>
      <c r="AA14" s="32">
        <f t="shared" si="6"/>
        <v>-34.248648648648654</v>
      </c>
      <c r="AB14" s="94">
        <f t="shared" si="7"/>
        <v>-3975.5251561986192</v>
      </c>
      <c r="AC14" s="94">
        <f t="shared" si="8"/>
        <v>-208.35251561986192</v>
      </c>
      <c r="AD14" s="86">
        <f t="shared" si="9"/>
        <v>-39.755251561986192</v>
      </c>
      <c r="AE14" s="86">
        <f t="shared" si="10"/>
        <v>-18.751726405787572</v>
      </c>
      <c r="AF14" s="91">
        <f t="shared" si="23"/>
        <v>0.57435000000000003</v>
      </c>
      <c r="AG14" s="91">
        <f t="shared" si="24"/>
        <v>0.20824999999999999</v>
      </c>
      <c r="AH14" s="108">
        <v>20000</v>
      </c>
      <c r="AI14" s="108">
        <v>12000</v>
      </c>
    </row>
    <row r="15" spans="1:36" x14ac:dyDescent="0.25">
      <c r="B15" t="s">
        <v>107</v>
      </c>
      <c r="C15" s="48" t="s">
        <v>106</v>
      </c>
      <c r="D15" s="80">
        <v>43634</v>
      </c>
      <c r="E15" s="38" t="s">
        <v>13</v>
      </c>
      <c r="F15" s="38"/>
      <c r="G15" s="99">
        <v>45473</v>
      </c>
      <c r="H15" s="100">
        <v>3</v>
      </c>
      <c r="I15" s="101"/>
      <c r="J15" s="101">
        <v>200</v>
      </c>
      <c r="K15" s="102">
        <v>3000</v>
      </c>
      <c r="L15" s="108">
        <v>0.01</v>
      </c>
      <c r="M15" s="103">
        <v>300</v>
      </c>
      <c r="N15" s="108">
        <v>0.08</v>
      </c>
      <c r="O15" s="115">
        <v>43634</v>
      </c>
      <c r="P15" s="116">
        <v>0</v>
      </c>
      <c r="Q15" s="116">
        <v>0</v>
      </c>
      <c r="R15" s="117">
        <v>43831</v>
      </c>
      <c r="S15" s="116">
        <v>8776</v>
      </c>
      <c r="T15" s="118">
        <v>2896</v>
      </c>
      <c r="U15" s="98">
        <f t="shared" si="0"/>
        <v>6.3465965143045047</v>
      </c>
      <c r="V15" s="30">
        <f t="shared" si="1"/>
        <v>8776</v>
      </c>
      <c r="W15" s="30">
        <f t="shared" si="2"/>
        <v>2896</v>
      </c>
      <c r="X15" s="85">
        <f t="shared" si="3"/>
        <v>1382.7883937823835</v>
      </c>
      <c r="Y15" s="85">
        <f t="shared" si="4"/>
        <v>456.30756476683939</v>
      </c>
      <c r="Z15" s="32">
        <f t="shared" si="5"/>
        <v>382.78839378238354</v>
      </c>
      <c r="AA15" s="32">
        <f t="shared" si="6"/>
        <v>356.30756476683939</v>
      </c>
      <c r="AB15" s="94">
        <f t="shared" si="7"/>
        <v>2429.4034856954954</v>
      </c>
      <c r="AC15" s="94">
        <f t="shared" si="8"/>
        <v>2261.3403485695494</v>
      </c>
      <c r="AD15" s="86">
        <f t="shared" si="9"/>
        <v>24.294034856954955</v>
      </c>
      <c r="AE15" s="86">
        <f t="shared" si="10"/>
        <v>180.90722788556397</v>
      </c>
      <c r="AF15" s="91">
        <f t="shared" si="23"/>
        <v>0.43880000000000002</v>
      </c>
      <c r="AG15" s="91">
        <f t="shared" si="24"/>
        <v>0.24133333333333334</v>
      </c>
      <c r="AH15" s="108">
        <v>20000</v>
      </c>
      <c r="AI15" s="108">
        <v>12000</v>
      </c>
    </row>
    <row r="16" spans="1:36" x14ac:dyDescent="0.25">
      <c r="B16" s="96"/>
      <c r="C16" s="48" t="s">
        <v>8</v>
      </c>
      <c r="D16" s="80">
        <v>43011</v>
      </c>
      <c r="E16" s="38" t="s">
        <v>69</v>
      </c>
      <c r="F16" s="38"/>
      <c r="G16" s="99">
        <v>44834</v>
      </c>
      <c r="H16" s="100">
        <v>3</v>
      </c>
      <c r="I16" s="101"/>
      <c r="J16" s="101">
        <v>200</v>
      </c>
      <c r="K16" s="102">
        <v>3000</v>
      </c>
      <c r="L16" s="108">
        <v>0.01</v>
      </c>
      <c r="M16" s="103">
        <v>300</v>
      </c>
      <c r="N16" s="108">
        <v>0.09</v>
      </c>
      <c r="O16" s="115">
        <v>43641</v>
      </c>
      <c r="P16" s="116">
        <v>53176</v>
      </c>
      <c r="Q16" s="116">
        <v>4068</v>
      </c>
      <c r="R16" s="117">
        <v>43839</v>
      </c>
      <c r="S16" s="116">
        <v>68528</v>
      </c>
      <c r="T16" s="118">
        <v>4979</v>
      </c>
      <c r="U16" s="98">
        <f t="shared" si="0"/>
        <v>6.3794804340677409</v>
      </c>
      <c r="V16" s="30">
        <f t="shared" si="1"/>
        <v>15352</v>
      </c>
      <c r="W16" s="30">
        <f t="shared" si="2"/>
        <v>911</v>
      </c>
      <c r="X16" s="85">
        <f t="shared" si="3"/>
        <v>2406.4655670103093</v>
      </c>
      <c r="Y16" s="85">
        <f t="shared" si="4"/>
        <v>142.80159793814434</v>
      </c>
      <c r="Z16" s="32">
        <f t="shared" si="5"/>
        <v>1406.4655670103093</v>
      </c>
      <c r="AA16" s="32">
        <f t="shared" si="6"/>
        <v>42.80159793814434</v>
      </c>
      <c r="AB16" s="94">
        <f t="shared" si="7"/>
        <v>8972.5195659322599</v>
      </c>
      <c r="AC16" s="94">
        <f t="shared" si="8"/>
        <v>273.05195659322595</v>
      </c>
      <c r="AD16" s="86">
        <f t="shared" si="9"/>
        <v>89.725195659322594</v>
      </c>
      <c r="AE16" s="86">
        <f t="shared" si="10"/>
        <v>24.574676093390334</v>
      </c>
      <c r="AF16" s="91">
        <f t="shared" si="23"/>
        <v>4.5685333333333329</v>
      </c>
      <c r="AG16" s="91">
        <f t="shared" si="24"/>
        <v>0.41491666666666666</v>
      </c>
      <c r="AH16" s="108">
        <v>15000</v>
      </c>
      <c r="AI16" s="108">
        <v>12000</v>
      </c>
    </row>
    <row r="17" spans="2:35" x14ac:dyDescent="0.25">
      <c r="B17" s="96"/>
      <c r="C17" s="48" t="s">
        <v>4</v>
      </c>
      <c r="D17" s="80">
        <v>42929</v>
      </c>
      <c r="E17" s="38" t="s">
        <v>69</v>
      </c>
      <c r="F17" s="38"/>
      <c r="G17" s="99">
        <v>44742</v>
      </c>
      <c r="H17" s="100">
        <v>3</v>
      </c>
      <c r="I17" s="101"/>
      <c r="J17" s="101">
        <v>200</v>
      </c>
      <c r="K17" s="102">
        <v>3000</v>
      </c>
      <c r="L17" s="108">
        <v>0.01</v>
      </c>
      <c r="M17" s="103">
        <v>300</v>
      </c>
      <c r="N17" s="108">
        <v>0.09</v>
      </c>
      <c r="O17" s="115">
        <v>43641</v>
      </c>
      <c r="P17" s="116">
        <v>39739</v>
      </c>
      <c r="Q17" s="116">
        <v>5194</v>
      </c>
      <c r="R17" s="117">
        <v>43839</v>
      </c>
      <c r="S17" s="116">
        <v>48021</v>
      </c>
      <c r="T17" s="118">
        <v>8015</v>
      </c>
      <c r="U17" s="98">
        <f t="shared" si="0"/>
        <v>6.3794804340677409</v>
      </c>
      <c r="V17" s="30">
        <f t="shared" si="1"/>
        <v>8282</v>
      </c>
      <c r="W17" s="30">
        <f t="shared" si="2"/>
        <v>2821</v>
      </c>
      <c r="X17" s="85">
        <f t="shared" si="3"/>
        <v>1298.2248453608247</v>
      </c>
      <c r="Y17" s="85">
        <f t="shared" si="4"/>
        <v>442.19902061855669</v>
      </c>
      <c r="Z17" s="32">
        <f t="shared" si="5"/>
        <v>298.2248453608247</v>
      </c>
      <c r="AA17" s="32">
        <f t="shared" si="6"/>
        <v>342.19902061855669</v>
      </c>
      <c r="AB17" s="94">
        <f t="shared" si="7"/>
        <v>1902.519565932259</v>
      </c>
      <c r="AC17" s="94">
        <f t="shared" si="8"/>
        <v>2183.0519565932259</v>
      </c>
      <c r="AD17" s="86">
        <f t="shared" si="9"/>
        <v>19.025195659322591</v>
      </c>
      <c r="AE17" s="86">
        <f t="shared" si="10"/>
        <v>196.47467609339031</v>
      </c>
      <c r="AF17" s="91">
        <f t="shared" si="23"/>
        <v>3.2014</v>
      </c>
      <c r="AG17" s="91">
        <f t="shared" si="24"/>
        <v>0.66791666666666671</v>
      </c>
      <c r="AH17" s="108">
        <v>15000</v>
      </c>
      <c r="AI17" s="108">
        <v>12000</v>
      </c>
    </row>
    <row r="18" spans="2:35" x14ac:dyDescent="0.25">
      <c r="B18" s="97" t="s">
        <v>123</v>
      </c>
      <c r="C18" s="48" t="s">
        <v>87</v>
      </c>
      <c r="D18" s="80">
        <v>43418</v>
      </c>
      <c r="E18" s="38" t="s">
        <v>13</v>
      </c>
      <c r="F18" s="38"/>
      <c r="G18" s="104">
        <v>45231</v>
      </c>
      <c r="H18" s="100">
        <v>3</v>
      </c>
      <c r="I18" s="105"/>
      <c r="J18" s="105">
        <v>200</v>
      </c>
      <c r="K18" s="106">
        <v>3000</v>
      </c>
      <c r="L18" s="108">
        <v>0.01</v>
      </c>
      <c r="M18" s="103">
        <v>300</v>
      </c>
      <c r="N18" s="108">
        <v>0.08</v>
      </c>
      <c r="O18" s="115">
        <v>43644</v>
      </c>
      <c r="P18" s="116">
        <v>11251</v>
      </c>
      <c r="Q18" s="116">
        <v>11236</v>
      </c>
      <c r="R18" s="117">
        <v>43822</v>
      </c>
      <c r="S18" s="116">
        <v>19204</v>
      </c>
      <c r="T18" s="118">
        <v>15237</v>
      </c>
      <c r="U18" s="98">
        <f t="shared" si="0"/>
        <v>5.7546859585662613</v>
      </c>
      <c r="V18" s="30">
        <f t="shared" si="1"/>
        <v>7953</v>
      </c>
      <c r="W18" s="30">
        <f t="shared" si="2"/>
        <v>4001</v>
      </c>
      <c r="X18" s="85">
        <f t="shared" si="3"/>
        <v>1382.0041714285715</v>
      </c>
      <c r="Y18" s="85">
        <f t="shared" si="4"/>
        <v>695.25948571428569</v>
      </c>
      <c r="Z18" s="32">
        <f t="shared" si="5"/>
        <v>382.00417142857145</v>
      </c>
      <c r="AA18" s="32">
        <f t="shared" si="6"/>
        <v>595.25948571428569</v>
      </c>
      <c r="AB18" s="94">
        <f t="shared" si="7"/>
        <v>2198.314041433739</v>
      </c>
      <c r="AC18" s="94">
        <f t="shared" si="8"/>
        <v>3425.5314041433739</v>
      </c>
      <c r="AD18" s="86">
        <f t="shared" si="9"/>
        <v>21.983140414337392</v>
      </c>
      <c r="AE18" s="86">
        <f t="shared" si="10"/>
        <v>274.04251233146994</v>
      </c>
      <c r="AF18" s="91">
        <f t="shared" si="23"/>
        <v>0.96020000000000005</v>
      </c>
      <c r="AG18" s="91">
        <f t="shared" si="24"/>
        <v>1.2697499999999999</v>
      </c>
      <c r="AH18" s="108">
        <v>20000</v>
      </c>
      <c r="AI18" s="108">
        <v>12000</v>
      </c>
    </row>
    <row r="19" spans="2:35" x14ac:dyDescent="0.25">
      <c r="B19" t="s">
        <v>107</v>
      </c>
      <c r="C19" s="48" t="s">
        <v>15</v>
      </c>
      <c r="D19" s="80">
        <v>43089</v>
      </c>
      <c r="E19" s="38" t="s">
        <v>13</v>
      </c>
      <c r="F19" s="38"/>
      <c r="G19" s="104">
        <v>44926</v>
      </c>
      <c r="H19" s="100">
        <v>3</v>
      </c>
      <c r="I19" s="105"/>
      <c r="J19" s="105">
        <v>290</v>
      </c>
      <c r="K19" s="106">
        <v>5000</v>
      </c>
      <c r="L19" s="109">
        <v>0.01</v>
      </c>
      <c r="M19" s="107">
        <v>500</v>
      </c>
      <c r="N19" s="108">
        <v>0.09</v>
      </c>
      <c r="O19" s="115">
        <v>43628</v>
      </c>
      <c r="P19" s="116">
        <v>44574</v>
      </c>
      <c r="Q19" s="116">
        <v>23433</v>
      </c>
      <c r="R19" s="117">
        <v>43829</v>
      </c>
      <c r="S19" s="116">
        <v>66582</v>
      </c>
      <c r="T19" s="118">
        <v>32708</v>
      </c>
      <c r="U19" s="98">
        <f t="shared" si="0"/>
        <v>6.5110161131206841</v>
      </c>
      <c r="V19" s="30">
        <f t="shared" si="1"/>
        <v>22008</v>
      </c>
      <c r="W19" s="30">
        <f t="shared" si="2"/>
        <v>9275</v>
      </c>
      <c r="X19" s="85">
        <f t="shared" si="3"/>
        <v>3380.1175757575757</v>
      </c>
      <c r="Y19" s="85">
        <f t="shared" si="4"/>
        <v>1424.5088383838383</v>
      </c>
      <c r="Z19" s="32">
        <f t="shared" si="5"/>
        <v>1713.4509090909089</v>
      </c>
      <c r="AA19" s="32">
        <f t="shared" si="6"/>
        <v>1257.8421717171716</v>
      </c>
      <c r="AB19" s="94">
        <f t="shared" si="7"/>
        <v>11156.306478132192</v>
      </c>
      <c r="AC19" s="94">
        <f t="shared" si="8"/>
        <v>8189.830647813219</v>
      </c>
      <c r="AD19" s="86">
        <f t="shared" si="9"/>
        <v>111.56306478132193</v>
      </c>
      <c r="AE19" s="86">
        <f t="shared" si="10"/>
        <v>737.08475830318969</v>
      </c>
      <c r="AF19" s="91">
        <f t="shared" si="23"/>
        <v>3.3290999999999999</v>
      </c>
      <c r="AG19" s="91">
        <f t="shared" si="24"/>
        <v>2.7256666666666667</v>
      </c>
      <c r="AH19" s="108">
        <v>20000</v>
      </c>
      <c r="AI19" s="108">
        <v>12000</v>
      </c>
    </row>
    <row r="20" spans="2:35" x14ac:dyDescent="0.25">
      <c r="B20" t="s">
        <v>107</v>
      </c>
      <c r="C20" s="48" t="s">
        <v>15</v>
      </c>
      <c r="D20" s="80">
        <v>43335</v>
      </c>
      <c r="E20" s="38" t="s">
        <v>13</v>
      </c>
      <c r="F20" s="38" t="s">
        <v>114</v>
      </c>
      <c r="G20" s="104">
        <v>45169</v>
      </c>
      <c r="H20" s="100">
        <v>3</v>
      </c>
      <c r="I20" s="105"/>
      <c r="J20" s="105">
        <v>290</v>
      </c>
      <c r="K20" s="106">
        <v>5000</v>
      </c>
      <c r="L20" s="109">
        <v>0.01</v>
      </c>
      <c r="M20" s="107">
        <v>500</v>
      </c>
      <c r="N20" s="108">
        <v>0.09</v>
      </c>
      <c r="O20" s="115">
        <v>43628</v>
      </c>
      <c r="P20" s="116">
        <v>29826</v>
      </c>
      <c r="Q20" s="116">
        <v>3213</v>
      </c>
      <c r="R20" s="117">
        <v>43829</v>
      </c>
      <c r="S20" s="116">
        <v>56170</v>
      </c>
      <c r="T20" s="118">
        <v>5326</v>
      </c>
      <c r="U20" s="98">
        <f t="shared" si="0"/>
        <v>6.5110161131206841</v>
      </c>
      <c r="V20" s="30">
        <f t="shared" si="1"/>
        <v>26344</v>
      </c>
      <c r="W20" s="30">
        <f t="shared" si="2"/>
        <v>2113</v>
      </c>
      <c r="X20" s="85">
        <f t="shared" si="3"/>
        <v>4046.0658585858587</v>
      </c>
      <c r="Y20" s="85">
        <f t="shared" si="4"/>
        <v>324.52691919191921</v>
      </c>
      <c r="Z20" s="32">
        <f t="shared" si="5"/>
        <v>2379.3991919191922</v>
      </c>
      <c r="AA20" s="32">
        <f t="shared" si="6"/>
        <v>157.86025252525255</v>
      </c>
      <c r="AB20" s="94">
        <f t="shared" si="7"/>
        <v>15492.306478132195</v>
      </c>
      <c r="AC20" s="94">
        <f t="shared" si="8"/>
        <v>1027.8306478132195</v>
      </c>
      <c r="AD20" s="86">
        <f t="shared" si="9"/>
        <v>154.92306478132195</v>
      </c>
      <c r="AE20" s="86">
        <f t="shared" si="10"/>
        <v>92.504758303189746</v>
      </c>
      <c r="AF20" s="91">
        <f t="shared" si="23"/>
        <v>2.8085</v>
      </c>
      <c r="AG20" s="91">
        <f t="shared" si="24"/>
        <v>0.44383333333333336</v>
      </c>
      <c r="AH20" s="108">
        <v>20000</v>
      </c>
      <c r="AI20" s="108">
        <v>12000</v>
      </c>
    </row>
    <row r="21" spans="2:35" x14ac:dyDescent="0.25">
      <c r="B21" s="96"/>
      <c r="C21" s="48" t="s">
        <v>81</v>
      </c>
      <c r="D21" s="80">
        <v>43314</v>
      </c>
      <c r="E21" s="38" t="s">
        <v>82</v>
      </c>
      <c r="F21" s="38"/>
      <c r="G21" s="104">
        <v>44408</v>
      </c>
      <c r="H21" s="100">
        <v>3</v>
      </c>
      <c r="I21" s="105"/>
      <c r="J21" s="105">
        <v>150</v>
      </c>
      <c r="K21" s="106">
        <v>3000</v>
      </c>
      <c r="L21" s="109">
        <v>0.01</v>
      </c>
      <c r="M21" s="103">
        <v>300</v>
      </c>
      <c r="N21" s="108">
        <v>0.09</v>
      </c>
      <c r="O21" s="115">
        <v>43641</v>
      </c>
      <c r="P21" s="116">
        <v>1463</v>
      </c>
      <c r="Q21" s="116">
        <v>283</v>
      </c>
      <c r="R21" s="117">
        <v>43839</v>
      </c>
      <c r="S21" s="116">
        <v>1783</v>
      </c>
      <c r="T21" s="118">
        <v>569</v>
      </c>
      <c r="U21" s="98">
        <f t="shared" si="0"/>
        <v>6.3794804340677409</v>
      </c>
      <c r="V21" s="30">
        <f t="shared" si="1"/>
        <v>320</v>
      </c>
      <c r="W21" s="30">
        <f t="shared" si="2"/>
        <v>286</v>
      </c>
      <c r="X21" s="85">
        <f t="shared" si="3"/>
        <v>50.160824742268041</v>
      </c>
      <c r="Y21" s="85">
        <f t="shared" si="4"/>
        <v>44.831237113402061</v>
      </c>
      <c r="Z21" s="32">
        <f t="shared" si="5"/>
        <v>-949.83917525773199</v>
      </c>
      <c r="AA21" s="32">
        <f t="shared" si="6"/>
        <v>-55.168762886597939</v>
      </c>
      <c r="AB21" s="94">
        <f t="shared" si="7"/>
        <v>-6059.480434067741</v>
      </c>
      <c r="AC21" s="94">
        <f t="shared" si="8"/>
        <v>-351.9480434067741</v>
      </c>
      <c r="AD21" s="86">
        <f t="shared" si="9"/>
        <v>-60.594804340677413</v>
      </c>
      <c r="AE21" s="86">
        <f t="shared" si="10"/>
        <v>-31.67532390660967</v>
      </c>
      <c r="AF21" s="91">
        <f t="shared" si="23"/>
        <v>8.9149999999999993E-2</v>
      </c>
      <c r="AG21" s="91">
        <f t="shared" si="24"/>
        <v>4.7416666666666669E-2</v>
      </c>
      <c r="AH21" s="108">
        <v>20000</v>
      </c>
      <c r="AI21" s="108">
        <v>12000</v>
      </c>
    </row>
    <row r="22" spans="2:35" x14ac:dyDescent="0.25">
      <c r="B22" t="s">
        <v>107</v>
      </c>
      <c r="C22" s="48" t="s">
        <v>81</v>
      </c>
      <c r="D22" s="80">
        <v>43833</v>
      </c>
      <c r="E22" s="38" t="s">
        <v>124</v>
      </c>
      <c r="F22" s="38"/>
      <c r="G22" s="104">
        <v>45657</v>
      </c>
      <c r="H22" s="100">
        <v>3</v>
      </c>
      <c r="I22" s="105"/>
      <c r="J22" s="105">
        <v>200</v>
      </c>
      <c r="K22" s="106">
        <v>3000</v>
      </c>
      <c r="L22" s="109">
        <v>0.01</v>
      </c>
      <c r="M22" s="103">
        <v>300</v>
      </c>
      <c r="N22" s="108">
        <v>0.08</v>
      </c>
      <c r="O22" s="112">
        <v>43833</v>
      </c>
      <c r="P22" s="122">
        <v>0</v>
      </c>
      <c r="Q22" s="122">
        <v>0</v>
      </c>
      <c r="R22" s="123"/>
      <c r="S22" s="124"/>
      <c r="T22" s="124"/>
      <c r="U22" s="98">
        <f t="shared" si="0"/>
        <v>-1420.6839855310752</v>
      </c>
      <c r="V22" s="30">
        <f t="shared" si="1"/>
        <v>0</v>
      </c>
      <c r="W22" s="30">
        <f t="shared" si="2"/>
        <v>0</v>
      </c>
      <c r="X22" s="85">
        <f t="shared" si="3"/>
        <v>0</v>
      </c>
      <c r="Y22" s="85">
        <f t="shared" si="4"/>
        <v>0</v>
      </c>
      <c r="Z22" s="32">
        <f t="shared" si="5"/>
        <v>-1000</v>
      </c>
      <c r="AA22" s="32">
        <f t="shared" si="6"/>
        <v>-100</v>
      </c>
      <c r="AB22" s="94">
        <f t="shared" si="7"/>
        <v>1420683.9855310752</v>
      </c>
      <c r="AC22" s="94">
        <f t="shared" si="8"/>
        <v>142068.39855310752</v>
      </c>
      <c r="AD22" s="86">
        <f t="shared" si="9"/>
        <v>14206.839855310753</v>
      </c>
      <c r="AE22" s="86">
        <f t="shared" si="10"/>
        <v>11365.471884248602</v>
      </c>
      <c r="AF22" s="91">
        <f t="shared" si="23"/>
        <v>0</v>
      </c>
      <c r="AG22" s="91">
        <f t="shared" si="24"/>
        <v>0</v>
      </c>
      <c r="AH22" s="108">
        <v>20000</v>
      </c>
      <c r="AI22" s="108">
        <v>12000</v>
      </c>
    </row>
    <row r="23" spans="2:35" x14ac:dyDescent="0.25">
      <c r="B23" t="s">
        <v>107</v>
      </c>
      <c r="C23" s="48" t="s">
        <v>43</v>
      </c>
      <c r="D23" s="80">
        <v>43182</v>
      </c>
      <c r="E23" s="38" t="s">
        <v>13</v>
      </c>
      <c r="F23" s="38"/>
      <c r="G23" s="104">
        <v>45015</v>
      </c>
      <c r="H23" s="100">
        <v>3</v>
      </c>
      <c r="I23" s="105"/>
      <c r="J23" s="105">
        <v>200</v>
      </c>
      <c r="K23" s="106">
        <v>3000</v>
      </c>
      <c r="L23" s="109">
        <v>0.01</v>
      </c>
      <c r="M23" s="103">
        <v>300</v>
      </c>
      <c r="N23" s="108">
        <v>0.09</v>
      </c>
      <c r="O23" s="115">
        <v>43640</v>
      </c>
      <c r="P23" s="116">
        <v>9222</v>
      </c>
      <c r="Q23" s="116">
        <v>11066</v>
      </c>
      <c r="R23" s="117">
        <v>44195</v>
      </c>
      <c r="S23" s="116">
        <v>14986</v>
      </c>
      <c r="T23" s="118">
        <v>12356</v>
      </c>
      <c r="U23" s="98">
        <f t="shared" si="0"/>
        <v>17.954620190726736</v>
      </c>
      <c r="V23" s="30">
        <f t="shared" si="1"/>
        <v>5764</v>
      </c>
      <c r="W23" s="30">
        <f t="shared" si="2"/>
        <v>1290</v>
      </c>
      <c r="X23" s="85">
        <f t="shared" si="3"/>
        <v>321.03157509157506</v>
      </c>
      <c r="Y23" s="85">
        <f t="shared" si="4"/>
        <v>71.847802197802196</v>
      </c>
      <c r="Z23" s="32">
        <f t="shared" si="5"/>
        <v>-678.96842490842494</v>
      </c>
      <c r="AA23" s="32">
        <f t="shared" si="6"/>
        <v>-28.152197802197804</v>
      </c>
      <c r="AB23" s="94">
        <f t="shared" si="7"/>
        <v>-12190.620190726737</v>
      </c>
      <c r="AC23" s="94">
        <f t="shared" si="8"/>
        <v>-505.46201907267351</v>
      </c>
      <c r="AD23" s="86">
        <f t="shared" si="9"/>
        <v>-121.90620190726737</v>
      </c>
      <c r="AE23" s="86">
        <f t="shared" si="10"/>
        <v>-45.491581716540615</v>
      </c>
      <c r="AF23" s="91">
        <f t="shared" si="23"/>
        <v>0.74929999999999997</v>
      </c>
      <c r="AG23" s="91">
        <f t="shared" si="24"/>
        <v>1.0296666666666667</v>
      </c>
      <c r="AH23" s="108">
        <v>20000</v>
      </c>
      <c r="AI23" s="108">
        <v>12000</v>
      </c>
    </row>
    <row r="24" spans="2:35" x14ac:dyDescent="0.25">
      <c r="B24" t="s">
        <v>107</v>
      </c>
      <c r="C24" s="48" t="s">
        <v>89</v>
      </c>
      <c r="D24" s="80">
        <v>43440</v>
      </c>
      <c r="E24" s="38" t="s">
        <v>13</v>
      </c>
      <c r="F24" s="38"/>
      <c r="G24" s="104">
        <v>45261</v>
      </c>
      <c r="H24" s="100">
        <v>3</v>
      </c>
      <c r="I24" s="105"/>
      <c r="J24" s="105">
        <v>200</v>
      </c>
      <c r="K24" s="106">
        <v>3000</v>
      </c>
      <c r="L24" s="109">
        <v>0.01</v>
      </c>
      <c r="M24" s="103">
        <v>300</v>
      </c>
      <c r="N24" s="108">
        <v>0.09</v>
      </c>
      <c r="O24" s="115">
        <v>43640</v>
      </c>
      <c r="P24" s="116">
        <v>18160</v>
      </c>
      <c r="Q24" s="116">
        <v>2056</v>
      </c>
      <c r="R24" s="117">
        <v>43829</v>
      </c>
      <c r="S24" s="116">
        <v>38651</v>
      </c>
      <c r="T24" s="118">
        <v>13179</v>
      </c>
      <c r="U24" s="98">
        <f t="shared" si="0"/>
        <v>6.1164090759618546</v>
      </c>
      <c r="V24" s="30">
        <f t="shared" si="1"/>
        <v>20491</v>
      </c>
      <c r="W24" s="30">
        <f t="shared" si="2"/>
        <v>11123</v>
      </c>
      <c r="X24" s="85">
        <f t="shared" si="3"/>
        <v>3350.1683333333335</v>
      </c>
      <c r="Y24" s="85">
        <f t="shared" si="4"/>
        <v>1818.5506989247313</v>
      </c>
      <c r="Z24" s="32">
        <f t="shared" si="5"/>
        <v>2350.1683333333335</v>
      </c>
      <c r="AA24" s="32">
        <f t="shared" si="6"/>
        <v>1718.5506989247313</v>
      </c>
      <c r="AB24" s="94">
        <f t="shared" si="7"/>
        <v>14374.590924038146</v>
      </c>
      <c r="AC24" s="94">
        <f t="shared" si="8"/>
        <v>10511.359092403814</v>
      </c>
      <c r="AD24" s="86">
        <f t="shared" si="9"/>
        <v>143.74590924038145</v>
      </c>
      <c r="AE24" s="86">
        <f t="shared" si="10"/>
        <v>946.02231831634322</v>
      </c>
      <c r="AF24" s="91">
        <f t="shared" si="23"/>
        <v>1.93255</v>
      </c>
      <c r="AG24" s="91">
        <f t="shared" si="24"/>
        <v>1.0982499999999999</v>
      </c>
      <c r="AH24" s="108">
        <v>20000</v>
      </c>
      <c r="AI24" s="108">
        <v>12000</v>
      </c>
    </row>
    <row r="25" spans="2:35" x14ac:dyDescent="0.25">
      <c r="B25" s="96"/>
      <c r="C25" s="48" t="s">
        <v>0</v>
      </c>
      <c r="D25" s="80">
        <v>42917</v>
      </c>
      <c r="E25" s="38" t="s">
        <v>69</v>
      </c>
      <c r="F25" s="38"/>
      <c r="G25" s="104">
        <v>44742</v>
      </c>
      <c r="H25" s="100">
        <v>3</v>
      </c>
      <c r="I25" s="105"/>
      <c r="J25" s="105">
        <v>200</v>
      </c>
      <c r="K25" s="106">
        <v>3000</v>
      </c>
      <c r="L25" s="109">
        <v>0.01</v>
      </c>
      <c r="M25" s="107">
        <v>300</v>
      </c>
      <c r="N25" s="108">
        <v>0.09</v>
      </c>
      <c r="O25" s="115">
        <v>43641</v>
      </c>
      <c r="P25" s="116">
        <v>65665</v>
      </c>
      <c r="Q25" s="116">
        <v>8199</v>
      </c>
      <c r="R25" s="117">
        <v>43812</v>
      </c>
      <c r="S25" s="118">
        <v>79768</v>
      </c>
      <c r="T25" s="118">
        <v>11479</v>
      </c>
      <c r="U25" s="98">
        <f t="shared" si="0"/>
        <v>5.5244985202236103</v>
      </c>
      <c r="V25" s="30">
        <f t="shared" si="1"/>
        <v>14103</v>
      </c>
      <c r="W25" s="30">
        <f t="shared" si="2"/>
        <v>3280</v>
      </c>
      <c r="X25" s="85">
        <f t="shared" si="3"/>
        <v>2552.8108928571428</v>
      </c>
      <c r="Y25" s="85">
        <f t="shared" si="4"/>
        <v>593.71904761904761</v>
      </c>
      <c r="Z25" s="32">
        <f t="shared" si="5"/>
        <v>1552.8108928571428</v>
      </c>
      <c r="AA25" s="32">
        <f t="shared" si="6"/>
        <v>493.71904761904761</v>
      </c>
      <c r="AB25" s="94">
        <f t="shared" si="7"/>
        <v>8578.5014797763888</v>
      </c>
      <c r="AC25" s="94">
        <f t="shared" si="8"/>
        <v>2727.550147977639</v>
      </c>
      <c r="AD25" s="86">
        <f t="shared" si="9"/>
        <v>85.785014797763893</v>
      </c>
      <c r="AE25" s="86">
        <f t="shared" si="10"/>
        <v>245.47951331798751</v>
      </c>
      <c r="AF25" s="91">
        <f t="shared" si="23"/>
        <v>5.3178666666666663</v>
      </c>
      <c r="AG25" s="91">
        <f t="shared" si="24"/>
        <v>0.95658333333333334</v>
      </c>
      <c r="AH25" s="108">
        <v>15000</v>
      </c>
      <c r="AI25" s="108">
        <v>12000</v>
      </c>
    </row>
    <row r="26" spans="2:35" x14ac:dyDescent="0.25">
      <c r="B26" t="s">
        <v>107</v>
      </c>
      <c r="C26" s="48" t="s">
        <v>0</v>
      </c>
      <c r="D26" s="80">
        <v>42992</v>
      </c>
      <c r="E26" s="38" t="s">
        <v>40</v>
      </c>
      <c r="F26" s="38"/>
      <c r="G26" s="104">
        <v>44803</v>
      </c>
      <c r="H26" s="100">
        <v>1</v>
      </c>
      <c r="I26" s="105">
        <v>140</v>
      </c>
      <c r="J26" s="105">
        <v>0</v>
      </c>
      <c r="K26" s="106">
        <v>5000</v>
      </c>
      <c r="L26" s="109">
        <v>0.01</v>
      </c>
      <c r="M26" s="103"/>
      <c r="N26" s="108"/>
      <c r="O26" s="115">
        <v>43640</v>
      </c>
      <c r="P26" s="116">
        <v>185635</v>
      </c>
      <c r="Q26" s="116"/>
      <c r="R26" s="117">
        <v>43831</v>
      </c>
      <c r="S26" s="118">
        <v>233320</v>
      </c>
      <c r="T26" s="118"/>
      <c r="U26" s="98">
        <f t="shared" si="0"/>
        <v>6.1492929957250908</v>
      </c>
      <c r="V26" s="30">
        <f t="shared" si="1"/>
        <v>47685</v>
      </c>
      <c r="W26" s="30">
        <f t="shared" si="2"/>
        <v>0</v>
      </c>
      <c r="X26" s="85">
        <f t="shared" si="3"/>
        <v>7754.5499999999993</v>
      </c>
      <c r="Y26" s="85">
        <f t="shared" si="4"/>
        <v>0</v>
      </c>
      <c r="Z26" s="32">
        <f t="shared" si="5"/>
        <v>2754.5499999999993</v>
      </c>
      <c r="AA26" s="32">
        <f t="shared" si="6"/>
        <v>0</v>
      </c>
      <c r="AB26" s="94">
        <f t="shared" si="7"/>
        <v>16938.535021374544</v>
      </c>
      <c r="AC26" s="94">
        <f t="shared" si="8"/>
        <v>0</v>
      </c>
      <c r="AD26" s="86">
        <f t="shared" si="9"/>
        <v>169.38535021374545</v>
      </c>
      <c r="AE26" s="86">
        <f t="shared" si="10"/>
        <v>0</v>
      </c>
      <c r="AF26" s="91">
        <f t="shared" si="23"/>
        <v>11.666</v>
      </c>
      <c r="AG26" s="91">
        <f t="shared" si="24"/>
        <v>0</v>
      </c>
      <c r="AH26" s="108">
        <v>20000</v>
      </c>
      <c r="AI26" s="108">
        <v>12000</v>
      </c>
    </row>
    <row r="27" spans="2:35" x14ac:dyDescent="0.25">
      <c r="B27" t="s">
        <v>107</v>
      </c>
      <c r="C27" s="48" t="s">
        <v>0</v>
      </c>
      <c r="D27" s="80">
        <v>43009</v>
      </c>
      <c r="E27" s="38" t="s">
        <v>14</v>
      </c>
      <c r="F27" s="38"/>
      <c r="G27" s="104">
        <v>44834</v>
      </c>
      <c r="H27" s="100">
        <v>1</v>
      </c>
      <c r="I27" s="105">
        <v>140</v>
      </c>
      <c r="J27" s="105">
        <v>0</v>
      </c>
      <c r="K27" s="106">
        <v>5000</v>
      </c>
      <c r="L27" s="109">
        <v>0.01</v>
      </c>
      <c r="M27" s="107">
        <v>300</v>
      </c>
      <c r="N27" s="108">
        <v>0.09</v>
      </c>
      <c r="O27" s="115">
        <v>43642</v>
      </c>
      <c r="P27" s="116">
        <v>139212</v>
      </c>
      <c r="Q27" s="116">
        <v>5979</v>
      </c>
      <c r="R27" s="117">
        <v>43831</v>
      </c>
      <c r="S27" s="118">
        <v>178408</v>
      </c>
      <c r="T27" s="118">
        <v>8304</v>
      </c>
      <c r="U27" s="98">
        <f t="shared" si="0"/>
        <v>6.0835251561986192</v>
      </c>
      <c r="V27" s="30">
        <f t="shared" si="1"/>
        <v>39196</v>
      </c>
      <c r="W27" s="30">
        <f t="shared" si="2"/>
        <v>2325</v>
      </c>
      <c r="X27" s="85">
        <f t="shared" si="3"/>
        <v>6442.9749189189188</v>
      </c>
      <c r="Y27" s="85">
        <f t="shared" si="4"/>
        <v>382.17972972972973</v>
      </c>
      <c r="Z27" s="32">
        <f t="shared" si="5"/>
        <v>1442.9749189189188</v>
      </c>
      <c r="AA27" s="32">
        <f t="shared" si="6"/>
        <v>82.179729729729729</v>
      </c>
      <c r="AB27" s="94">
        <f t="shared" si="7"/>
        <v>8778.3742190069061</v>
      </c>
      <c r="AC27" s="94">
        <f t="shared" si="8"/>
        <v>499.94245314041439</v>
      </c>
      <c r="AD27" s="86">
        <f t="shared" si="9"/>
        <v>87.783742190069063</v>
      </c>
      <c r="AE27" s="86">
        <f t="shared" si="10"/>
        <v>44.994820782637291</v>
      </c>
      <c r="AF27" s="91">
        <f t="shared" si="23"/>
        <v>8.9204000000000008</v>
      </c>
      <c r="AG27" s="91">
        <f t="shared" si="24"/>
        <v>0.69199999999999995</v>
      </c>
      <c r="AH27" s="108">
        <v>20000</v>
      </c>
      <c r="AI27" s="108">
        <v>12000</v>
      </c>
    </row>
    <row r="28" spans="2:35" x14ac:dyDescent="0.25">
      <c r="B28" t="s">
        <v>107</v>
      </c>
      <c r="C28" s="48" t="s">
        <v>0</v>
      </c>
      <c r="D28" s="80">
        <v>43101</v>
      </c>
      <c r="E28" s="38" t="s">
        <v>13</v>
      </c>
      <c r="F28" s="38"/>
      <c r="G28" s="104">
        <v>44926</v>
      </c>
      <c r="H28" s="100">
        <v>3</v>
      </c>
      <c r="I28" s="105"/>
      <c r="J28" s="105">
        <v>200</v>
      </c>
      <c r="K28" s="106">
        <v>3000</v>
      </c>
      <c r="L28" s="109">
        <v>0.01</v>
      </c>
      <c r="M28" s="107">
        <v>300</v>
      </c>
      <c r="N28" s="108">
        <v>0.09</v>
      </c>
      <c r="O28" s="115">
        <v>43635</v>
      </c>
      <c r="P28" s="116">
        <v>76454</v>
      </c>
      <c r="Q28" s="116">
        <v>8860</v>
      </c>
      <c r="R28" s="117">
        <v>43845</v>
      </c>
      <c r="S28" s="118">
        <v>100912</v>
      </c>
      <c r="T28" s="118">
        <v>12413</v>
      </c>
      <c r="U28" s="98">
        <f t="shared" si="0"/>
        <v>6.7740874712265704</v>
      </c>
      <c r="V28" s="30">
        <f t="shared" si="1"/>
        <v>24458</v>
      </c>
      <c r="W28" s="30">
        <f t="shared" si="2"/>
        <v>3553</v>
      </c>
      <c r="X28" s="85">
        <f t="shared" si="3"/>
        <v>3610.5232038834952</v>
      </c>
      <c r="Y28" s="85">
        <f t="shared" si="4"/>
        <v>524.49868932038828</v>
      </c>
      <c r="Z28" s="32">
        <f t="shared" si="5"/>
        <v>2610.5232038834952</v>
      </c>
      <c r="AA28" s="32">
        <f t="shared" si="6"/>
        <v>424.49868932038828</v>
      </c>
      <c r="AB28" s="94">
        <f t="shared" si="7"/>
        <v>17683.912528773431</v>
      </c>
      <c r="AC28" s="94">
        <f t="shared" si="8"/>
        <v>2875.5912528773424</v>
      </c>
      <c r="AD28" s="86">
        <f t="shared" si="9"/>
        <v>176.8391252877343</v>
      </c>
      <c r="AE28" s="86">
        <f t="shared" si="10"/>
        <v>258.8032127589608</v>
      </c>
      <c r="AF28" s="91">
        <f t="shared" si="23"/>
        <v>5.0456000000000003</v>
      </c>
      <c r="AG28" s="91">
        <f t="shared" si="24"/>
        <v>1.0344166666666668</v>
      </c>
      <c r="AH28" s="108">
        <v>20000</v>
      </c>
      <c r="AI28" s="108">
        <v>12000</v>
      </c>
    </row>
    <row r="29" spans="2:35" x14ac:dyDescent="0.25">
      <c r="B29" t="s">
        <v>107</v>
      </c>
      <c r="C29" s="48" t="s">
        <v>0</v>
      </c>
      <c r="D29" s="80">
        <v>43630</v>
      </c>
      <c r="E29" s="38" t="s">
        <v>105</v>
      </c>
      <c r="F29" s="38"/>
      <c r="G29" s="104">
        <v>45458</v>
      </c>
      <c r="H29" s="100">
        <v>1</v>
      </c>
      <c r="I29" s="105">
        <v>120</v>
      </c>
      <c r="J29" s="105">
        <v>0</v>
      </c>
      <c r="K29" s="106">
        <v>10000</v>
      </c>
      <c r="L29" s="108">
        <v>0.01</v>
      </c>
      <c r="M29" s="103"/>
      <c r="N29" s="108"/>
      <c r="O29" s="115">
        <v>43630</v>
      </c>
      <c r="P29" s="116">
        <v>0</v>
      </c>
      <c r="Q29" s="116">
        <v>0</v>
      </c>
      <c r="R29" s="117">
        <v>43831</v>
      </c>
      <c r="S29" s="118">
        <v>23876</v>
      </c>
      <c r="T29" s="118"/>
      <c r="U29" s="98">
        <f t="shared" si="0"/>
        <v>6.4781321933574478</v>
      </c>
      <c r="V29" s="30">
        <f t="shared" si="1"/>
        <v>23876</v>
      </c>
      <c r="W29" s="30">
        <f t="shared" si="2"/>
        <v>0</v>
      </c>
      <c r="X29" s="85">
        <f t="shared" si="3"/>
        <v>3685.6302538071068</v>
      </c>
      <c r="Y29" s="85">
        <f t="shared" si="4"/>
        <v>0</v>
      </c>
      <c r="Z29" s="32">
        <f t="shared" si="5"/>
        <v>-6314.3697461928932</v>
      </c>
      <c r="AA29" s="32">
        <f t="shared" si="6"/>
        <v>0</v>
      </c>
      <c r="AB29" s="94">
        <f t="shared" si="7"/>
        <v>-40905.32193357448</v>
      </c>
      <c r="AC29" s="94">
        <f t="shared" si="8"/>
        <v>0</v>
      </c>
      <c r="AD29" s="86">
        <f t="shared" si="9"/>
        <v>-409.05321933574481</v>
      </c>
      <c r="AE29" s="86">
        <f t="shared" si="10"/>
        <v>0</v>
      </c>
      <c r="AF29" s="91">
        <f t="shared" si="23"/>
        <v>1.1938</v>
      </c>
      <c r="AG29" s="91">
        <f t="shared" si="24"/>
        <v>0</v>
      </c>
      <c r="AH29" s="108">
        <v>20000</v>
      </c>
      <c r="AI29" s="108">
        <v>12000</v>
      </c>
    </row>
    <row r="30" spans="2:35" x14ac:dyDescent="0.25">
      <c r="B30" s="125"/>
      <c r="C30" s="48" t="s">
        <v>0</v>
      </c>
      <c r="D30" s="80">
        <v>43875</v>
      </c>
      <c r="E30" s="38" t="s">
        <v>118</v>
      </c>
      <c r="F30" s="38"/>
      <c r="G30" s="104">
        <v>45702</v>
      </c>
      <c r="H30" s="100">
        <v>3</v>
      </c>
      <c r="I30" s="105"/>
      <c r="J30" s="105">
        <v>240</v>
      </c>
      <c r="K30" s="106">
        <v>18000</v>
      </c>
      <c r="L30" s="108">
        <v>0.01</v>
      </c>
      <c r="M30" s="103"/>
      <c r="N30" s="108"/>
      <c r="O30" s="115"/>
      <c r="P30" s="116"/>
      <c r="Q30" s="116"/>
      <c r="R30" s="117"/>
      <c r="S30" s="118"/>
      <c r="T30" s="118"/>
      <c r="U30" s="98"/>
      <c r="V30" s="30"/>
      <c r="W30" s="30"/>
      <c r="X30" s="85"/>
      <c r="Y30" s="85"/>
      <c r="Z30" s="32"/>
      <c r="AA30" s="32"/>
      <c r="AB30" s="94"/>
      <c r="AC30" s="94"/>
      <c r="AD30" s="86"/>
      <c r="AE30" s="86"/>
      <c r="AH30" s="108"/>
      <c r="AI30" s="108"/>
    </row>
    <row r="31" spans="2:35" x14ac:dyDescent="0.25">
      <c r="B31" t="s">
        <v>107</v>
      </c>
      <c r="C31" s="48" t="s">
        <v>103</v>
      </c>
      <c r="D31" s="80">
        <v>43579</v>
      </c>
      <c r="E31" s="38" t="s">
        <v>13</v>
      </c>
      <c r="F31" s="38"/>
      <c r="G31" s="104">
        <v>45413</v>
      </c>
      <c r="H31" s="100">
        <v>3</v>
      </c>
      <c r="I31" s="105"/>
      <c r="J31" s="105">
        <v>200</v>
      </c>
      <c r="K31" s="106">
        <v>3000</v>
      </c>
      <c r="L31" s="108">
        <v>0.01</v>
      </c>
      <c r="M31" s="103">
        <v>300</v>
      </c>
      <c r="N31" s="108">
        <v>0.08</v>
      </c>
      <c r="O31" s="115">
        <v>43641</v>
      </c>
      <c r="P31" s="116">
        <v>1353</v>
      </c>
      <c r="Q31" s="116">
        <v>33</v>
      </c>
      <c r="R31" s="117">
        <v>43829</v>
      </c>
      <c r="S31" s="118">
        <v>5574</v>
      </c>
      <c r="T31" s="118">
        <v>393</v>
      </c>
      <c r="U31" s="98">
        <f t="shared" si="0"/>
        <v>6.0835251561986192</v>
      </c>
      <c r="V31" s="30">
        <f t="shared" si="1"/>
        <v>4221</v>
      </c>
      <c r="W31" s="30">
        <f t="shared" si="2"/>
        <v>360</v>
      </c>
      <c r="X31" s="85">
        <f t="shared" si="3"/>
        <v>693.84113513513512</v>
      </c>
      <c r="Y31" s="85">
        <f t="shared" si="4"/>
        <v>59.176216216216211</v>
      </c>
      <c r="Z31" s="32">
        <f t="shared" si="5"/>
        <v>-306.15886486486488</v>
      </c>
      <c r="AA31" s="32">
        <f t="shared" si="6"/>
        <v>-40.823783783783789</v>
      </c>
      <c r="AB31" s="94">
        <f t="shared" si="7"/>
        <v>-1862.525156198619</v>
      </c>
      <c r="AC31" s="94">
        <f t="shared" si="8"/>
        <v>-248.35251561986192</v>
      </c>
      <c r="AD31" s="86">
        <f t="shared" si="9"/>
        <v>-18.62525156198619</v>
      </c>
      <c r="AE31" s="86">
        <f t="shared" si="10"/>
        <v>-19.868201249588953</v>
      </c>
      <c r="AF31" s="91">
        <f t="shared" si="23"/>
        <v>0.2787</v>
      </c>
      <c r="AG31" s="91">
        <f t="shared" si="24"/>
        <v>3.2750000000000001E-2</v>
      </c>
      <c r="AH31" s="108">
        <v>20000</v>
      </c>
      <c r="AI31" s="108">
        <v>12000</v>
      </c>
    </row>
    <row r="32" spans="2:35" x14ac:dyDescent="0.25">
      <c r="B32" t="s">
        <v>107</v>
      </c>
      <c r="C32" s="48" t="s">
        <v>45</v>
      </c>
      <c r="D32" s="80">
        <v>43191</v>
      </c>
      <c r="E32" s="38" t="s">
        <v>13</v>
      </c>
      <c r="F32" s="38"/>
      <c r="G32" s="104">
        <v>44986</v>
      </c>
      <c r="H32" s="100">
        <v>3</v>
      </c>
      <c r="I32" s="105"/>
      <c r="J32" s="105">
        <v>200</v>
      </c>
      <c r="K32" s="106">
        <v>3000</v>
      </c>
      <c r="L32" s="109">
        <v>0.01</v>
      </c>
      <c r="M32" s="107">
        <v>300</v>
      </c>
      <c r="N32" s="108">
        <v>0.08</v>
      </c>
      <c r="O32" s="115">
        <v>43642</v>
      </c>
      <c r="P32" s="116">
        <v>26000</v>
      </c>
      <c r="Q32" s="116">
        <v>8651</v>
      </c>
      <c r="R32" s="117">
        <v>43829</v>
      </c>
      <c r="S32" s="118">
        <v>36135</v>
      </c>
      <c r="T32" s="118">
        <v>13146</v>
      </c>
      <c r="U32" s="98">
        <f t="shared" si="0"/>
        <v>6.050641236435383</v>
      </c>
      <c r="V32" s="30">
        <f t="shared" si="1"/>
        <v>10135</v>
      </c>
      <c r="W32" s="30">
        <f t="shared" si="2"/>
        <v>4495</v>
      </c>
      <c r="X32" s="85">
        <f t="shared" si="3"/>
        <v>1675.0290760869566</v>
      </c>
      <c r="Y32" s="85">
        <f t="shared" si="4"/>
        <v>742.89646739130433</v>
      </c>
      <c r="Z32" s="32">
        <f t="shared" si="5"/>
        <v>675.02907608695659</v>
      </c>
      <c r="AA32" s="32">
        <f t="shared" si="6"/>
        <v>642.89646739130433</v>
      </c>
      <c r="AB32" s="94">
        <f t="shared" si="7"/>
        <v>4084.3587635646172</v>
      </c>
      <c r="AC32" s="94">
        <f t="shared" si="8"/>
        <v>3889.9358763564614</v>
      </c>
      <c r="AD32" s="86">
        <f t="shared" si="9"/>
        <v>40.843587635646173</v>
      </c>
      <c r="AE32" s="86">
        <f t="shared" si="10"/>
        <v>311.19487010851691</v>
      </c>
      <c r="AF32" s="91">
        <f t="shared" si="23"/>
        <v>1.8067500000000001</v>
      </c>
      <c r="AG32" s="91">
        <f t="shared" si="24"/>
        <v>1.0954999999999999</v>
      </c>
      <c r="AH32" s="108">
        <v>20000</v>
      </c>
      <c r="AI32" s="108">
        <v>12000</v>
      </c>
    </row>
    <row r="33" spans="3:26" x14ac:dyDescent="0.25">
      <c r="D33" s="81"/>
      <c r="O33" s="10"/>
      <c r="P33"/>
      <c r="Q33"/>
      <c r="R33" s="47"/>
      <c r="S33"/>
      <c r="T33"/>
      <c r="U33" s="126">
        <f>(DAYS360(O33,R33)+5)/30.41</f>
        <v>0.16441959881617887</v>
      </c>
    </row>
    <row r="34" spans="3:26" ht="47.25" thickBot="1" x14ac:dyDescent="0.75">
      <c r="O34" s="10"/>
      <c r="R34" s="47"/>
      <c r="S34"/>
      <c r="T34" s="128" t="s">
        <v>128</v>
      </c>
      <c r="U34" s="46" t="s">
        <v>127</v>
      </c>
      <c r="V34" s="127"/>
      <c r="W34" s="127"/>
      <c r="X34" s="127"/>
      <c r="Y34" s="30"/>
      <c r="Z34" s="30"/>
    </row>
    <row r="35" spans="3:26" ht="15.75" thickBot="1" x14ac:dyDescent="0.3">
      <c r="O35" s="91" t="s">
        <v>134</v>
      </c>
      <c r="P35" s="129" t="s">
        <v>129</v>
      </c>
      <c r="Q35" s="130"/>
      <c r="R35" s="47"/>
      <c r="S35"/>
      <c r="T35"/>
      <c r="U35"/>
    </row>
    <row r="36" spans="3:26" x14ac:dyDescent="0.25">
      <c r="C36" s="53" t="s">
        <v>135</v>
      </c>
      <c r="D36" s="82">
        <v>44013</v>
      </c>
      <c r="E36" s="23" t="s">
        <v>136</v>
      </c>
      <c r="F36" s="287" t="s">
        <v>137</v>
      </c>
      <c r="G36" s="287"/>
      <c r="H36" s="287"/>
      <c r="I36" s="287"/>
      <c r="J36" s="287"/>
      <c r="O36" s="136" t="s">
        <v>133</v>
      </c>
      <c r="P36" s="137"/>
      <c r="Q36" s="138"/>
      <c r="R36" s="10"/>
    </row>
    <row r="37" spans="3:26" x14ac:dyDescent="0.25">
      <c r="C37" s="7"/>
      <c r="O37" s="131">
        <v>11834</v>
      </c>
      <c r="P37" s="14">
        <v>10355</v>
      </c>
      <c r="Q37" s="132">
        <v>1479</v>
      </c>
      <c r="R37" s="10"/>
    </row>
    <row r="38" spans="3:26" ht="15.75" thickBot="1" x14ac:dyDescent="0.3">
      <c r="O38" s="133" t="s">
        <v>132</v>
      </c>
      <c r="P38" s="134" t="s">
        <v>131</v>
      </c>
      <c r="Q38" s="135" t="s">
        <v>130</v>
      </c>
    </row>
  </sheetData>
  <autoFilter ref="B1:AE1" xr:uid="{00000000-0009-0000-0000-000005000000}">
    <sortState xmlns:xlrd2="http://schemas.microsoft.com/office/spreadsheetml/2017/richdata2" ref="B2:AE32">
      <sortCondition ref="C1"/>
    </sortState>
  </autoFilter>
  <mergeCells count="1">
    <mergeCell ref="F36:J36"/>
  </mergeCells>
  <conditionalFormatting sqref="A1:A1048576">
    <cfRule type="cellIs" dxfId="3" priority="1" operator="equal">
      <formula>"X"</formula>
    </cfRule>
  </conditionalFormatting>
  <conditionalFormatting sqref="AH1:AI1 Z1:AE1048576">
    <cfRule type="cellIs" dxfId="2" priority="9" operator="lessThan">
      <formula>0</formula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oglio5">
    <pageSetUpPr fitToPage="1"/>
  </sheetPr>
  <dimension ref="A1:Q38"/>
  <sheetViews>
    <sheetView zoomScale="85" zoomScaleNormal="85" workbookViewId="0">
      <pane ySplit="750" activePane="bottomLeft"/>
      <selection activeCell="L1" sqref="L1:L1048576"/>
      <selection pane="bottomLeft" activeCell="E24" sqref="E24"/>
    </sheetView>
  </sheetViews>
  <sheetFormatPr defaultColWidth="9.140625" defaultRowHeight="15" x14ac:dyDescent="0.25"/>
  <cols>
    <col min="1" max="1" width="16.5703125" style="16" customWidth="1"/>
    <col min="2" max="2" width="9.7109375" style="3" customWidth="1"/>
    <col min="3" max="3" width="23.85546875" style="7" customWidth="1"/>
    <col min="4" max="4" width="13" style="3" customWidth="1"/>
    <col min="5" max="5" width="11.42578125" style="3" customWidth="1"/>
    <col min="6" max="6" width="20.28515625" style="3" bestFit="1" customWidth="1"/>
    <col min="7" max="7" width="17" style="4" customWidth="1"/>
    <col min="8" max="8" width="19" style="4" bestFit="1" customWidth="1"/>
    <col min="9" max="9" width="19.140625" style="3" customWidth="1"/>
    <col min="10" max="10" width="14.5703125" style="3" customWidth="1"/>
    <col min="11" max="11" width="12.42578125" style="3" customWidth="1"/>
    <col min="12" max="12" width="13.5703125" style="4" customWidth="1"/>
    <col min="13" max="13" width="15.7109375" style="3" customWidth="1"/>
    <col min="14" max="14" width="18.5703125" style="3" customWidth="1"/>
    <col min="15" max="16384" width="9.140625" style="3"/>
  </cols>
  <sheetData>
    <row r="1" spans="1:17" s="14" customFormat="1" ht="25.5" x14ac:dyDescent="0.25">
      <c r="A1" s="20" t="s">
        <v>37</v>
      </c>
      <c r="B1" s="13">
        <f>COUNTA(B3:B30)</f>
        <v>26</v>
      </c>
      <c r="C1" s="13" t="s">
        <v>22</v>
      </c>
      <c r="D1" s="13" t="s">
        <v>18</v>
      </c>
      <c r="E1" s="13" t="s">
        <v>19</v>
      </c>
      <c r="F1" s="8" t="s">
        <v>17</v>
      </c>
      <c r="G1" s="18" t="s">
        <v>1</v>
      </c>
      <c r="H1" s="19" t="s">
        <v>2</v>
      </c>
      <c r="I1" s="19" t="s">
        <v>20</v>
      </c>
      <c r="J1" s="11" t="s">
        <v>23</v>
      </c>
      <c r="K1" s="11" t="s">
        <v>24</v>
      </c>
      <c r="L1" s="12" t="s">
        <v>25</v>
      </c>
      <c r="M1" s="11" t="s">
        <v>26</v>
      </c>
      <c r="N1" s="11" t="s">
        <v>49</v>
      </c>
    </row>
    <row r="2" spans="1:17" s="14" customFormat="1" x14ac:dyDescent="0.25">
      <c r="A2" s="15" t="s">
        <v>38</v>
      </c>
      <c r="B2" t="s">
        <v>42</v>
      </c>
      <c r="C2" s="75" t="s">
        <v>100</v>
      </c>
      <c r="D2" s="6">
        <v>43474</v>
      </c>
      <c r="E2" s="6">
        <v>45291</v>
      </c>
      <c r="F2" s="3" t="s">
        <v>13</v>
      </c>
      <c r="G2" s="4">
        <v>66.66</v>
      </c>
      <c r="H2" s="4">
        <v>0</v>
      </c>
      <c r="I2" s="3"/>
      <c r="J2" t="s">
        <v>31</v>
      </c>
      <c r="K2" t="s">
        <v>28</v>
      </c>
      <c r="L2" s="4">
        <v>66</v>
      </c>
      <c r="M2" t="s">
        <v>30</v>
      </c>
      <c r="N2" s="3"/>
      <c r="O2" s="3"/>
      <c r="P2" s="3"/>
      <c r="Q2" s="3"/>
    </row>
    <row r="3" spans="1:17" x14ac:dyDescent="0.25">
      <c r="A3" s="15" t="s">
        <v>38</v>
      </c>
      <c r="B3" t="s">
        <v>42</v>
      </c>
      <c r="C3" s="44" t="s">
        <v>80</v>
      </c>
      <c r="D3" s="6">
        <v>43344</v>
      </c>
      <c r="E3" s="6">
        <v>45138</v>
      </c>
      <c r="F3" s="3" t="s">
        <v>13</v>
      </c>
      <c r="H3" s="4">
        <v>200</v>
      </c>
      <c r="J3" t="s">
        <v>34</v>
      </c>
      <c r="K3" t="s">
        <v>28</v>
      </c>
      <c r="L3" s="4">
        <v>200</v>
      </c>
      <c r="M3" t="s">
        <v>30</v>
      </c>
    </row>
    <row r="4" spans="1:17" x14ac:dyDescent="0.25">
      <c r="A4" s="15" t="s">
        <v>38</v>
      </c>
      <c r="B4" t="s">
        <v>42</v>
      </c>
      <c r="C4" s="44" t="s">
        <v>47</v>
      </c>
      <c r="D4" s="6">
        <v>43221</v>
      </c>
      <c r="E4" s="6">
        <v>45015</v>
      </c>
      <c r="F4" s="3" t="s">
        <v>13</v>
      </c>
      <c r="G4" s="4">
        <v>0</v>
      </c>
      <c r="H4" s="4">
        <v>200</v>
      </c>
      <c r="J4" t="s">
        <v>34</v>
      </c>
      <c r="K4" t="s">
        <v>28</v>
      </c>
      <c r="L4" s="4">
        <v>200</v>
      </c>
      <c r="M4" t="s">
        <v>30</v>
      </c>
      <c r="N4" t="s">
        <v>86</v>
      </c>
    </row>
    <row r="5" spans="1:17" x14ac:dyDescent="0.25">
      <c r="A5" s="15" t="s">
        <v>38</v>
      </c>
      <c r="B5" t="s">
        <v>42</v>
      </c>
      <c r="C5" s="44" t="s">
        <v>48</v>
      </c>
      <c r="D5" s="6">
        <v>43191</v>
      </c>
      <c r="E5" s="6">
        <v>45015</v>
      </c>
      <c r="F5" s="3" t="s">
        <v>13</v>
      </c>
      <c r="H5" s="4">
        <v>200</v>
      </c>
      <c r="J5" t="s">
        <v>34</v>
      </c>
      <c r="K5" t="s">
        <v>28</v>
      </c>
      <c r="L5" s="4">
        <v>200</v>
      </c>
      <c r="M5" t="s">
        <v>30</v>
      </c>
    </row>
    <row r="6" spans="1:17" x14ac:dyDescent="0.25">
      <c r="A6" s="15" t="s">
        <v>38</v>
      </c>
      <c r="B6" t="s">
        <v>42</v>
      </c>
      <c r="C6" s="75" t="s">
        <v>53</v>
      </c>
      <c r="D6" s="6">
        <v>43252</v>
      </c>
      <c r="E6" s="6">
        <v>45076</v>
      </c>
      <c r="F6" s="3" t="s">
        <v>13</v>
      </c>
      <c r="H6" s="4">
        <v>200</v>
      </c>
      <c r="J6" t="s">
        <v>34</v>
      </c>
      <c r="K6" t="s">
        <v>28</v>
      </c>
      <c r="L6" s="4">
        <v>200</v>
      </c>
      <c r="M6" t="s">
        <v>30</v>
      </c>
    </row>
    <row r="7" spans="1:17" x14ac:dyDescent="0.25">
      <c r="A7" s="15" t="s">
        <v>38</v>
      </c>
      <c r="B7" t="s">
        <v>42</v>
      </c>
      <c r="C7" s="44" t="s">
        <v>51</v>
      </c>
      <c r="D7" s="6">
        <v>43221</v>
      </c>
      <c r="E7" s="6">
        <v>45046</v>
      </c>
      <c r="F7" s="3" t="s">
        <v>13</v>
      </c>
      <c r="H7" s="4">
        <v>200</v>
      </c>
      <c r="J7" t="s">
        <v>34</v>
      </c>
      <c r="K7" t="s">
        <v>28</v>
      </c>
      <c r="L7" s="4">
        <v>200</v>
      </c>
      <c r="M7" t="s">
        <v>30</v>
      </c>
    </row>
    <row r="8" spans="1:17" x14ac:dyDescent="0.25">
      <c r="A8" s="15" t="s">
        <v>38</v>
      </c>
      <c r="B8" t="s">
        <v>42</v>
      </c>
      <c r="C8" s="44" t="s">
        <v>16</v>
      </c>
      <c r="D8" s="6">
        <v>43101</v>
      </c>
      <c r="E8" s="6">
        <v>44926</v>
      </c>
      <c r="F8" s="3" t="s">
        <v>13</v>
      </c>
      <c r="G8" s="1" t="s">
        <v>3</v>
      </c>
      <c r="H8" s="4">
        <v>200</v>
      </c>
      <c r="J8" t="s">
        <v>34</v>
      </c>
      <c r="K8" s="43" t="s">
        <v>32</v>
      </c>
      <c r="L8" s="4">
        <v>200</v>
      </c>
      <c r="M8" t="s">
        <v>30</v>
      </c>
    </row>
    <row r="9" spans="1:17" x14ac:dyDescent="0.25">
      <c r="A9" s="15" t="s">
        <v>38</v>
      </c>
      <c r="B9" t="s">
        <v>42</v>
      </c>
      <c r="C9" s="44" t="s">
        <v>106</v>
      </c>
      <c r="D9" s="78">
        <v>43617</v>
      </c>
      <c r="E9" s="6">
        <v>45444</v>
      </c>
      <c r="F9" s="3" t="s">
        <v>13</v>
      </c>
      <c r="G9" s="1" t="s">
        <v>3</v>
      </c>
      <c r="H9" s="4">
        <v>200</v>
      </c>
      <c r="J9" t="s">
        <v>34</v>
      </c>
      <c r="K9" t="s">
        <v>28</v>
      </c>
      <c r="L9" s="4">
        <v>200</v>
      </c>
      <c r="M9" t="s">
        <v>30</v>
      </c>
    </row>
    <row r="10" spans="1:17" x14ac:dyDescent="0.25">
      <c r="A10" s="15" t="s">
        <v>38</v>
      </c>
      <c r="B10" t="s">
        <v>42</v>
      </c>
      <c r="C10" s="75" t="s">
        <v>8</v>
      </c>
      <c r="D10" s="6">
        <v>43009</v>
      </c>
      <c r="E10" s="6">
        <v>44805</v>
      </c>
      <c r="F10" t="s">
        <v>69</v>
      </c>
      <c r="G10" s="4">
        <v>0</v>
      </c>
      <c r="H10" s="4">
        <v>200</v>
      </c>
      <c r="J10" t="s">
        <v>34</v>
      </c>
      <c r="K10" s="43" t="s">
        <v>32</v>
      </c>
      <c r="L10" s="4">
        <v>200</v>
      </c>
      <c r="M10" t="s">
        <v>30</v>
      </c>
    </row>
    <row r="11" spans="1:17" x14ac:dyDescent="0.25">
      <c r="A11" s="15" t="s">
        <v>38</v>
      </c>
      <c r="B11" t="s">
        <v>42</v>
      </c>
      <c r="C11" s="75" t="s">
        <v>4</v>
      </c>
      <c r="D11" s="6">
        <v>42917</v>
      </c>
      <c r="E11" s="6">
        <v>44713</v>
      </c>
      <c r="F11" s="3" t="s">
        <v>5</v>
      </c>
      <c r="G11" s="4">
        <v>0</v>
      </c>
      <c r="H11" s="4">
        <v>200</v>
      </c>
      <c r="J11" t="s">
        <v>34</v>
      </c>
      <c r="K11" t="s">
        <v>28</v>
      </c>
      <c r="L11" s="4">
        <v>200</v>
      </c>
      <c r="M11" t="s">
        <v>30</v>
      </c>
    </row>
    <row r="12" spans="1:17" x14ac:dyDescent="0.25">
      <c r="A12" s="15" t="s">
        <v>38</v>
      </c>
      <c r="B12" t="s">
        <v>42</v>
      </c>
      <c r="C12" s="75" t="s">
        <v>15</v>
      </c>
      <c r="D12" s="6">
        <v>43101</v>
      </c>
      <c r="E12" s="6">
        <v>44531</v>
      </c>
      <c r="F12" s="3" t="s">
        <v>13</v>
      </c>
      <c r="G12" s="4">
        <v>0</v>
      </c>
      <c r="H12" s="4">
        <v>290</v>
      </c>
      <c r="J12" t="s">
        <v>34</v>
      </c>
      <c r="K12" s="43" t="s">
        <v>32</v>
      </c>
      <c r="L12" s="4">
        <v>290</v>
      </c>
      <c r="M12" t="s">
        <v>30</v>
      </c>
      <c r="N12" t="s">
        <v>84</v>
      </c>
    </row>
    <row r="13" spans="1:17" x14ac:dyDescent="0.25">
      <c r="A13" s="15" t="s">
        <v>38</v>
      </c>
      <c r="B13" t="s">
        <v>42</v>
      </c>
      <c r="C13" s="75" t="s">
        <v>15</v>
      </c>
      <c r="D13" s="6">
        <v>43344</v>
      </c>
      <c r="E13" s="6">
        <v>44774</v>
      </c>
      <c r="F13" s="3" t="s">
        <v>13</v>
      </c>
      <c r="G13" s="4">
        <v>0</v>
      </c>
      <c r="H13" s="4">
        <v>290</v>
      </c>
      <c r="J13" t="s">
        <v>34</v>
      </c>
      <c r="K13" s="43" t="s">
        <v>32</v>
      </c>
      <c r="L13" s="4">
        <v>290</v>
      </c>
      <c r="M13" t="s">
        <v>30</v>
      </c>
      <c r="N13"/>
    </row>
    <row r="14" spans="1:17" x14ac:dyDescent="0.25">
      <c r="A14" s="15" t="s">
        <v>38</v>
      </c>
      <c r="B14" t="s">
        <v>42</v>
      </c>
      <c r="C14" s="44" t="s">
        <v>87</v>
      </c>
      <c r="D14" s="6">
        <v>43405</v>
      </c>
      <c r="E14" s="6">
        <v>45231</v>
      </c>
      <c r="F14" s="3" t="s">
        <v>13</v>
      </c>
      <c r="H14" s="4">
        <v>200</v>
      </c>
      <c r="J14" t="s">
        <v>34</v>
      </c>
      <c r="K14" t="s">
        <v>28</v>
      </c>
      <c r="L14" s="4">
        <v>200</v>
      </c>
      <c r="M14" t="s">
        <v>30</v>
      </c>
      <c r="N14"/>
    </row>
    <row r="15" spans="1:17" x14ac:dyDescent="0.25">
      <c r="A15" s="15" t="s">
        <v>38</v>
      </c>
      <c r="B15" t="s">
        <v>42</v>
      </c>
      <c r="C15" s="44" t="s">
        <v>81</v>
      </c>
      <c r="D15" s="6">
        <v>43313</v>
      </c>
      <c r="E15" s="6">
        <v>44378</v>
      </c>
      <c r="F15" t="s">
        <v>82</v>
      </c>
      <c r="H15" s="4">
        <v>150</v>
      </c>
      <c r="J15" t="s">
        <v>34</v>
      </c>
      <c r="K15" t="s">
        <v>28</v>
      </c>
      <c r="L15" s="4">
        <v>270</v>
      </c>
      <c r="M15" t="s">
        <v>30</v>
      </c>
      <c r="N15" t="s">
        <v>83</v>
      </c>
    </row>
    <row r="16" spans="1:17" x14ac:dyDescent="0.25">
      <c r="A16" s="15" t="s">
        <v>38</v>
      </c>
      <c r="B16" t="s">
        <v>42</v>
      </c>
      <c r="C16" s="75" t="s">
        <v>43</v>
      </c>
      <c r="D16" s="6">
        <v>43191</v>
      </c>
      <c r="E16" s="6">
        <v>44986</v>
      </c>
      <c r="F16" s="3" t="s">
        <v>13</v>
      </c>
      <c r="G16" s="4">
        <v>0</v>
      </c>
      <c r="H16" s="4">
        <v>200</v>
      </c>
      <c r="J16" t="s">
        <v>34</v>
      </c>
      <c r="K16" t="s">
        <v>28</v>
      </c>
      <c r="L16" s="4">
        <v>200</v>
      </c>
      <c r="M16" t="s">
        <v>30</v>
      </c>
    </row>
    <row r="17" spans="1:17" x14ac:dyDescent="0.25">
      <c r="A17" s="15" t="s">
        <v>38</v>
      </c>
      <c r="B17" t="s">
        <v>44</v>
      </c>
      <c r="C17" s="75" t="s">
        <v>88</v>
      </c>
      <c r="D17" s="6">
        <v>43435</v>
      </c>
      <c r="E17" s="6">
        <v>45261</v>
      </c>
      <c r="F17" s="3" t="s">
        <v>13</v>
      </c>
      <c r="H17" s="4">
        <v>200</v>
      </c>
      <c r="J17" t="s">
        <v>34</v>
      </c>
      <c r="K17" t="s">
        <v>28</v>
      </c>
      <c r="L17" s="4">
        <v>200</v>
      </c>
      <c r="M17" t="s">
        <v>30</v>
      </c>
      <c r="N17" t="s">
        <v>94</v>
      </c>
    </row>
    <row r="18" spans="1:17" x14ac:dyDescent="0.25">
      <c r="A18" s="15" t="s">
        <v>38</v>
      </c>
      <c r="B18" t="s">
        <v>42</v>
      </c>
      <c r="C18" s="75" t="s">
        <v>0</v>
      </c>
      <c r="D18" s="6">
        <v>42917</v>
      </c>
      <c r="E18" s="6">
        <v>44713</v>
      </c>
      <c r="F18" t="s">
        <v>69</v>
      </c>
      <c r="G18" s="4">
        <v>0</v>
      </c>
      <c r="H18" s="4">
        <v>200</v>
      </c>
      <c r="J18" t="s">
        <v>34</v>
      </c>
      <c r="K18" s="43" t="s">
        <v>32</v>
      </c>
      <c r="L18" s="4">
        <v>200</v>
      </c>
      <c r="M18" t="s">
        <v>33</v>
      </c>
    </row>
    <row r="19" spans="1:17" x14ac:dyDescent="0.25">
      <c r="A19" s="15" t="s">
        <v>38</v>
      </c>
      <c r="B19" t="s">
        <v>42</v>
      </c>
      <c r="C19" s="75" t="s">
        <v>0</v>
      </c>
      <c r="D19" s="6">
        <v>43101</v>
      </c>
      <c r="E19" s="6">
        <v>44896</v>
      </c>
      <c r="F19" s="3" t="s">
        <v>13</v>
      </c>
      <c r="G19" s="4">
        <v>0</v>
      </c>
      <c r="H19" s="4">
        <v>200</v>
      </c>
      <c r="J19" t="s">
        <v>34</v>
      </c>
      <c r="K19" s="43" t="s">
        <v>32</v>
      </c>
      <c r="L19" s="4">
        <v>200</v>
      </c>
      <c r="M19" t="s">
        <v>33</v>
      </c>
    </row>
    <row r="20" spans="1:17" x14ac:dyDescent="0.25">
      <c r="A20" s="15" t="s">
        <v>38</v>
      </c>
      <c r="B20" t="s">
        <v>42</v>
      </c>
      <c r="C20" s="75" t="s">
        <v>0</v>
      </c>
      <c r="D20" s="6">
        <v>43009</v>
      </c>
      <c r="E20" s="6">
        <v>44805</v>
      </c>
      <c r="F20" t="s">
        <v>14</v>
      </c>
      <c r="G20" s="4">
        <v>140</v>
      </c>
      <c r="H20" s="4">
        <v>0</v>
      </c>
      <c r="J20" t="s">
        <v>31</v>
      </c>
      <c r="K20" s="43" t="s">
        <v>32</v>
      </c>
      <c r="L20" s="4">
        <v>140</v>
      </c>
      <c r="M20" t="s">
        <v>33</v>
      </c>
    </row>
    <row r="21" spans="1:17" x14ac:dyDescent="0.25">
      <c r="A21" s="15" t="s">
        <v>38</v>
      </c>
      <c r="B21" t="s">
        <v>42</v>
      </c>
      <c r="C21" s="75" t="s">
        <v>0</v>
      </c>
      <c r="D21" s="6">
        <v>42979</v>
      </c>
      <c r="E21" s="6">
        <v>44774</v>
      </c>
      <c r="F21" t="s">
        <v>40</v>
      </c>
      <c r="G21" s="4">
        <v>140</v>
      </c>
      <c r="H21" s="4">
        <v>0</v>
      </c>
      <c r="J21" t="s">
        <v>31</v>
      </c>
      <c r="K21" s="43" t="s">
        <v>32</v>
      </c>
      <c r="L21" s="4">
        <v>140</v>
      </c>
      <c r="M21" t="s">
        <v>33</v>
      </c>
      <c r="N21" t="s">
        <v>41</v>
      </c>
    </row>
    <row r="22" spans="1:17" x14ac:dyDescent="0.25">
      <c r="A22" s="15" t="s">
        <v>38</v>
      </c>
      <c r="B22" t="s">
        <v>42</v>
      </c>
      <c r="C22" s="75" t="s">
        <v>0</v>
      </c>
      <c r="D22" s="78">
        <v>43617</v>
      </c>
      <c r="E22" s="6">
        <v>45444</v>
      </c>
      <c r="F22" t="s">
        <v>105</v>
      </c>
      <c r="G22" s="4">
        <v>120</v>
      </c>
      <c r="H22" s="4">
        <v>0</v>
      </c>
      <c r="J22" t="s">
        <v>31</v>
      </c>
      <c r="K22" s="43" t="s">
        <v>32</v>
      </c>
      <c r="L22" s="4">
        <v>120</v>
      </c>
      <c r="M22" t="s">
        <v>33</v>
      </c>
      <c r="N22" t="s">
        <v>41</v>
      </c>
    </row>
    <row r="23" spans="1:17" x14ac:dyDescent="0.25">
      <c r="A23" s="15" t="s">
        <v>38</v>
      </c>
      <c r="B23" t="s">
        <v>42</v>
      </c>
      <c r="C23" s="44" t="s">
        <v>103</v>
      </c>
      <c r="D23" s="6">
        <v>43586</v>
      </c>
      <c r="E23" s="6">
        <v>45413</v>
      </c>
      <c r="F23" t="s">
        <v>13</v>
      </c>
      <c r="H23" s="4">
        <v>200</v>
      </c>
      <c r="J23" t="s">
        <v>34</v>
      </c>
      <c r="K23" s="43" t="s">
        <v>28</v>
      </c>
      <c r="L23" s="4">
        <v>600</v>
      </c>
      <c r="M23" t="s">
        <v>30</v>
      </c>
      <c r="N23"/>
    </row>
    <row r="24" spans="1:17" x14ac:dyDescent="0.25">
      <c r="A24" s="15" t="s">
        <v>38</v>
      </c>
      <c r="B24" t="s">
        <v>42</v>
      </c>
      <c r="C24" s="75" t="s">
        <v>45</v>
      </c>
      <c r="D24" s="6">
        <v>43191</v>
      </c>
      <c r="E24" s="6">
        <v>44986</v>
      </c>
      <c r="F24" s="3" t="s">
        <v>13</v>
      </c>
      <c r="G24" s="4">
        <v>0</v>
      </c>
      <c r="H24" s="4">
        <v>200</v>
      </c>
      <c r="J24" t="s">
        <v>34</v>
      </c>
      <c r="K24" t="s">
        <v>28</v>
      </c>
      <c r="L24" s="4">
        <v>600</v>
      </c>
      <c r="M24" t="s">
        <v>30</v>
      </c>
    </row>
    <row r="25" spans="1:17" x14ac:dyDescent="0.25">
      <c r="A25" s="17" t="s">
        <v>39</v>
      </c>
      <c r="B25" t="s">
        <v>42</v>
      </c>
      <c r="C25" s="44" t="s">
        <v>50</v>
      </c>
      <c r="D25" s="6">
        <v>43221</v>
      </c>
      <c r="E25" s="2" t="s">
        <v>3</v>
      </c>
      <c r="G25" s="4">
        <v>0</v>
      </c>
      <c r="H25" s="1">
        <v>330</v>
      </c>
      <c r="I25"/>
      <c r="J25" t="s">
        <v>34</v>
      </c>
      <c r="K25" t="s">
        <v>28</v>
      </c>
      <c r="L25" s="4">
        <v>390</v>
      </c>
      <c r="M25" t="s">
        <v>30</v>
      </c>
      <c r="N25" t="s">
        <v>77</v>
      </c>
      <c r="O25" s="14"/>
      <c r="P25" s="14"/>
      <c r="Q25" s="14"/>
    </row>
    <row r="26" spans="1:17" x14ac:dyDescent="0.25">
      <c r="A26" s="17" t="s">
        <v>39</v>
      </c>
      <c r="B26" t="s">
        <v>42</v>
      </c>
      <c r="C26" s="44" t="s">
        <v>36</v>
      </c>
      <c r="D26" s="6">
        <v>43009</v>
      </c>
      <c r="E26" s="2" t="s">
        <v>3</v>
      </c>
      <c r="G26" s="1"/>
      <c r="H26" s="1">
        <v>270</v>
      </c>
      <c r="I26"/>
      <c r="J26" t="s">
        <v>34</v>
      </c>
      <c r="K26" t="s">
        <v>28</v>
      </c>
      <c r="L26" s="4">
        <v>270</v>
      </c>
      <c r="M26" t="s">
        <v>30</v>
      </c>
    </row>
    <row r="27" spans="1:17" x14ac:dyDescent="0.25">
      <c r="A27" s="17" t="s">
        <v>39</v>
      </c>
      <c r="B27" t="s">
        <v>42</v>
      </c>
      <c r="C27" s="44" t="s">
        <v>15</v>
      </c>
      <c r="D27" s="6">
        <v>43132</v>
      </c>
      <c r="E27" s="2" t="s">
        <v>3</v>
      </c>
      <c r="G27" s="4">
        <v>0</v>
      </c>
      <c r="H27" s="1">
        <v>2250</v>
      </c>
      <c r="I27"/>
      <c r="J27" t="s">
        <v>34</v>
      </c>
      <c r="K27" t="s">
        <v>28</v>
      </c>
      <c r="L27" s="4">
        <v>2250</v>
      </c>
      <c r="M27" t="s">
        <v>30</v>
      </c>
    </row>
    <row r="28" spans="1:17" x14ac:dyDescent="0.25">
      <c r="A28" s="17" t="s">
        <v>78</v>
      </c>
      <c r="B28" t="s">
        <v>42</v>
      </c>
      <c r="C28" s="44" t="s">
        <v>6</v>
      </c>
      <c r="D28" s="6">
        <v>42979</v>
      </c>
      <c r="E28" s="6">
        <v>44774</v>
      </c>
      <c r="G28" s="1"/>
      <c r="H28" s="1">
        <v>1275</v>
      </c>
      <c r="I28" t="s">
        <v>79</v>
      </c>
      <c r="J28" t="s">
        <v>34</v>
      </c>
      <c r="K28" s="43" t="s">
        <v>32</v>
      </c>
      <c r="L28" s="4">
        <v>1498.8</v>
      </c>
      <c r="M28" t="s">
        <v>35</v>
      </c>
      <c r="N28" t="s">
        <v>85</v>
      </c>
    </row>
    <row r="29" spans="1:17" x14ac:dyDescent="0.25">
      <c r="M29"/>
    </row>
    <row r="31" spans="1:17" x14ac:dyDescent="0.25">
      <c r="A31" s="3"/>
      <c r="B31" s="76" t="s">
        <v>104</v>
      </c>
      <c r="C31" s="77"/>
    </row>
    <row r="32" spans="1:17" x14ac:dyDescent="0.25">
      <c r="M32"/>
    </row>
    <row r="33" spans="1:17" x14ac:dyDescent="0.25">
      <c r="M33"/>
    </row>
    <row r="34" spans="1:17" x14ac:dyDescent="0.25">
      <c r="M34"/>
    </row>
    <row r="35" spans="1:17" s="74" customFormat="1" x14ac:dyDescent="0.25">
      <c r="A35" s="69" t="s">
        <v>38</v>
      </c>
      <c r="B35" s="70" t="s">
        <v>42</v>
      </c>
      <c r="C35" s="71" t="s">
        <v>9</v>
      </c>
      <c r="D35" s="72">
        <v>42095</v>
      </c>
      <c r="E35" s="72">
        <v>43525</v>
      </c>
      <c r="F35" s="70" t="s">
        <v>10</v>
      </c>
      <c r="G35" s="73">
        <v>90</v>
      </c>
      <c r="H35" s="73">
        <v>0</v>
      </c>
      <c r="I35" s="70" t="s">
        <v>11</v>
      </c>
      <c r="J35" s="70" t="s">
        <v>27</v>
      </c>
      <c r="K35" s="70" t="s">
        <v>28</v>
      </c>
      <c r="L35" s="73">
        <v>180</v>
      </c>
      <c r="M35" s="70" t="s">
        <v>30</v>
      </c>
      <c r="N35" s="70"/>
      <c r="O35" s="70"/>
      <c r="P35" s="70"/>
      <c r="Q35" s="70"/>
    </row>
    <row r="36" spans="1:17" s="70" customFormat="1" x14ac:dyDescent="0.25">
      <c r="A36" s="69" t="s">
        <v>38</v>
      </c>
      <c r="B36" s="70" t="s">
        <v>42</v>
      </c>
      <c r="C36" s="71" t="s">
        <v>9</v>
      </c>
      <c r="D36" s="72">
        <v>42095</v>
      </c>
      <c r="E36" s="72">
        <v>43525</v>
      </c>
      <c r="F36" s="70" t="s">
        <v>10</v>
      </c>
      <c r="G36" s="73">
        <v>120</v>
      </c>
      <c r="H36" s="73">
        <v>0</v>
      </c>
      <c r="I36" s="70" t="s">
        <v>11</v>
      </c>
      <c r="J36" s="70" t="s">
        <v>27</v>
      </c>
      <c r="K36" s="70" t="s">
        <v>28</v>
      </c>
      <c r="L36" s="73">
        <v>240</v>
      </c>
      <c r="M36" s="70" t="s">
        <v>30</v>
      </c>
    </row>
    <row r="37" spans="1:17" s="70" customFormat="1" x14ac:dyDescent="0.25">
      <c r="A37" s="69" t="s">
        <v>39</v>
      </c>
      <c r="C37" s="71" t="s">
        <v>7</v>
      </c>
      <c r="D37" s="72">
        <v>43009</v>
      </c>
      <c r="E37" s="72">
        <v>43252</v>
      </c>
      <c r="G37" s="73"/>
      <c r="H37" s="73">
        <v>240</v>
      </c>
      <c r="J37" s="70" t="s">
        <v>34</v>
      </c>
      <c r="K37" s="70" t="s">
        <v>28</v>
      </c>
      <c r="L37" s="73">
        <v>240</v>
      </c>
      <c r="M37" s="70" t="s">
        <v>30</v>
      </c>
      <c r="N37" s="70" t="s">
        <v>54</v>
      </c>
    </row>
    <row r="38" spans="1:17" s="70" customFormat="1" x14ac:dyDescent="0.25">
      <c r="A38" s="69" t="s">
        <v>91</v>
      </c>
      <c r="C38" s="71" t="s">
        <v>90</v>
      </c>
      <c r="D38" s="72"/>
      <c r="E38" s="72">
        <v>43525</v>
      </c>
      <c r="F38" s="70" t="s">
        <v>92</v>
      </c>
      <c r="G38" s="73">
        <v>40</v>
      </c>
      <c r="H38" s="73"/>
      <c r="J38" s="70" t="s">
        <v>93</v>
      </c>
      <c r="L38" s="73"/>
    </row>
  </sheetData>
  <autoFilter ref="A1:N28" xr:uid="{00000000-0009-0000-0000-000006000000}"/>
  <sortState xmlns:xlrd2="http://schemas.microsoft.com/office/spreadsheetml/2017/richdata2" ref="A3:Q28">
    <sortCondition ref="A3:A28"/>
    <sortCondition ref="C3:C28"/>
  </sortState>
  <pageMargins left="0.7" right="0.7" top="0.75" bottom="0.75" header="0.3" footer="0.3"/>
  <pageSetup paperSize="9" scale="45" fitToHeight="0"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Foglio6"/>
  <dimension ref="A1:Z36"/>
  <sheetViews>
    <sheetView zoomScale="85" zoomScaleNormal="85" workbookViewId="0">
      <pane xSplit="1" topLeftCell="B1" activePane="topRight" state="frozen"/>
      <selection pane="topRight" activeCell="C14" sqref="C14"/>
    </sheetView>
  </sheetViews>
  <sheetFormatPr defaultRowHeight="15" x14ac:dyDescent="0.25"/>
  <cols>
    <col min="1" max="1" width="20.85546875" customWidth="1"/>
    <col min="2" max="2" width="16.42578125" style="41" customWidth="1"/>
    <col min="3" max="3" width="17.42578125" style="23" customWidth="1"/>
    <col min="4" max="4" width="10.7109375" style="42" customWidth="1"/>
    <col min="5" max="5" width="16.28515625" style="5" customWidth="1"/>
    <col min="6" max="6" width="11" style="3" customWidth="1"/>
    <col min="7" max="7" width="18.85546875" style="3" customWidth="1"/>
    <col min="8" max="8" width="11.140625" style="3" customWidth="1"/>
    <col min="9" max="10" width="13.5703125" style="3" customWidth="1"/>
    <col min="11" max="11" width="11.42578125" style="3" bestFit="1" customWidth="1"/>
    <col min="12" max="12" width="14" style="3" bestFit="1" customWidth="1"/>
    <col min="13" max="14" width="9.28515625" style="3" bestFit="1" customWidth="1"/>
    <col min="15" max="15" width="17.85546875" style="3" bestFit="1" customWidth="1"/>
    <col min="16" max="16" width="18.28515625" style="3" bestFit="1" customWidth="1"/>
    <col min="17" max="17" width="10" style="3" customWidth="1"/>
    <col min="18" max="18" width="14.5703125" bestFit="1" customWidth="1"/>
    <col min="19" max="19" width="12.42578125" bestFit="1" customWidth="1"/>
    <col min="20" max="20" width="14.5703125" bestFit="1" customWidth="1"/>
    <col min="21" max="21" width="9.140625" style="2"/>
  </cols>
  <sheetData>
    <row r="1" spans="1:21" ht="75" customHeight="1" x14ac:dyDescent="0.25">
      <c r="A1" s="13" t="s">
        <v>22</v>
      </c>
      <c r="B1" s="22" t="s">
        <v>18</v>
      </c>
      <c r="C1" s="22" t="s">
        <v>17</v>
      </c>
      <c r="D1" s="34" t="s">
        <v>70</v>
      </c>
      <c r="E1" s="9" t="s">
        <v>59</v>
      </c>
      <c r="F1" s="8" t="s">
        <v>60</v>
      </c>
      <c r="G1" s="8" t="s">
        <v>58</v>
      </c>
      <c r="H1" s="8" t="s">
        <v>61</v>
      </c>
      <c r="I1" s="24" t="s">
        <v>21</v>
      </c>
      <c r="J1" s="29" t="s">
        <v>56</v>
      </c>
      <c r="K1" s="29" t="s">
        <v>55</v>
      </c>
      <c r="L1" s="21" t="s">
        <v>57</v>
      </c>
      <c r="M1" s="25" t="s">
        <v>46</v>
      </c>
      <c r="N1" s="25" t="s">
        <v>52</v>
      </c>
      <c r="O1" s="31" t="s">
        <v>67</v>
      </c>
      <c r="P1" s="31" t="s">
        <v>66</v>
      </c>
      <c r="Q1" s="26" t="s">
        <v>62</v>
      </c>
      <c r="R1" s="26" t="s">
        <v>63</v>
      </c>
      <c r="S1" s="27" t="s">
        <v>64</v>
      </c>
      <c r="T1" s="27" t="s">
        <v>65</v>
      </c>
      <c r="U1" s="21" t="s">
        <v>68</v>
      </c>
    </row>
    <row r="2" spans="1:21" x14ac:dyDescent="0.25">
      <c r="A2" s="37" t="str">
        <f>noleggi!C35</f>
        <v>AVV VALVES</v>
      </c>
      <c r="B2" s="39">
        <f>noleggi!D35</f>
        <v>42095</v>
      </c>
      <c r="C2" s="38" t="str">
        <f>noleggi!F35</f>
        <v>RICOH MP 2501</v>
      </c>
      <c r="D2" s="42">
        <v>2</v>
      </c>
      <c r="E2" s="5">
        <v>8000</v>
      </c>
      <c r="F2" s="3">
        <v>0.01</v>
      </c>
      <c r="G2" s="3">
        <v>0</v>
      </c>
      <c r="H2" s="3">
        <v>0</v>
      </c>
      <c r="I2" s="10">
        <v>43126</v>
      </c>
      <c r="K2" s="3">
        <v>207744</v>
      </c>
      <c r="L2" s="10">
        <v>43280</v>
      </c>
      <c r="N2" s="3">
        <v>237747</v>
      </c>
      <c r="O2" s="30">
        <f>N2-K2</f>
        <v>30003</v>
      </c>
      <c r="P2" s="30"/>
      <c r="Q2" s="28">
        <f>(N2-K2)/MONTH(L2-I2)</f>
        <v>5000.5</v>
      </c>
      <c r="R2" s="28">
        <f>(M2-J2)/MONTH(L2-I2)</f>
        <v>0</v>
      </c>
      <c r="S2" s="32">
        <f>Q2-E2/D2</f>
        <v>1000.5</v>
      </c>
      <c r="T2" s="33">
        <f>R2-G2/D2</f>
        <v>0</v>
      </c>
      <c r="U2" s="14" t="s">
        <v>44</v>
      </c>
    </row>
    <row r="3" spans="1:21" x14ac:dyDescent="0.25">
      <c r="A3" s="37" t="str">
        <f>noleggi!C36</f>
        <v>AVV VALVES</v>
      </c>
      <c r="B3" s="39">
        <f>noleggi!D36</f>
        <v>42095</v>
      </c>
      <c r="C3" s="38" t="str">
        <f>noleggi!F36</f>
        <v>RICOH MP 2501</v>
      </c>
      <c r="D3" s="42">
        <v>2</v>
      </c>
      <c r="E3" s="5">
        <v>4000</v>
      </c>
      <c r="F3" s="3">
        <v>0.01</v>
      </c>
      <c r="G3" s="3">
        <v>0</v>
      </c>
      <c r="H3" s="3">
        <v>0</v>
      </c>
      <c r="I3" s="10">
        <v>43126</v>
      </c>
      <c r="K3" s="3">
        <v>243243</v>
      </c>
      <c r="L3" s="10">
        <v>43280</v>
      </c>
      <c r="N3" s="3">
        <v>280217</v>
      </c>
      <c r="O3" s="30">
        <f t="shared" ref="O3:O6" si="0">N3-K3</f>
        <v>36974</v>
      </c>
      <c r="P3" s="30"/>
      <c r="Q3" s="28">
        <f t="shared" ref="Q3:Q6" si="1">(N3-K3)/MONTH(L3-I3)</f>
        <v>6162.333333333333</v>
      </c>
      <c r="R3" s="28">
        <f t="shared" ref="R3:R6" si="2">(M3-J3)/MONTH(L3-I3)</f>
        <v>0</v>
      </c>
      <c r="S3" s="32">
        <f t="shared" ref="S3:S9" si="3">Q3-E3/D3</f>
        <v>4162.333333333333</v>
      </c>
      <c r="T3" s="33">
        <f t="shared" ref="T3:T9" si="4">R3-G3/D3</f>
        <v>0</v>
      </c>
      <c r="U3" s="14" t="s">
        <v>44</v>
      </c>
    </row>
    <row r="4" spans="1:21" x14ac:dyDescent="0.25">
      <c r="A4" s="37" t="str">
        <f>noleggi!C3</f>
        <v>COLORIFICIO FERRARIS</v>
      </c>
      <c r="B4" s="39">
        <f>noleggi!D3</f>
        <v>43344</v>
      </c>
      <c r="C4" s="38" t="str">
        <f>noleggi!F3</f>
        <v>TA 2506i</v>
      </c>
      <c r="D4" s="42">
        <v>3</v>
      </c>
      <c r="E4" s="5">
        <v>3000</v>
      </c>
      <c r="F4" s="3">
        <v>0.01</v>
      </c>
      <c r="G4" s="3">
        <v>300</v>
      </c>
      <c r="H4" s="3">
        <v>0.08</v>
      </c>
      <c r="I4" s="10"/>
      <c r="L4" s="10"/>
      <c r="O4" s="30"/>
      <c r="P4" s="30"/>
      <c r="Q4" s="28"/>
      <c r="R4" s="28"/>
      <c r="S4" s="32"/>
      <c r="T4" s="33"/>
      <c r="U4" s="14"/>
    </row>
    <row r="5" spans="1:21" x14ac:dyDescent="0.25">
      <c r="A5" s="37" t="str">
        <f>'CONGUAGLI old o chiusi'!C34</f>
        <v>DELTA</v>
      </c>
      <c r="B5" s="39">
        <f>'CONGUAGLI old o chiusi'!D34</f>
        <v>43040</v>
      </c>
      <c r="C5" s="38" t="str">
        <f>'CONGUAGLI old o chiusi'!F34</f>
        <v>TA 2506i</v>
      </c>
      <c r="D5" s="42">
        <v>3</v>
      </c>
      <c r="E5" s="5">
        <v>3000</v>
      </c>
      <c r="F5" s="3">
        <v>0.01</v>
      </c>
      <c r="G5" s="3">
        <v>300</v>
      </c>
      <c r="H5" s="3">
        <v>0.09</v>
      </c>
      <c r="I5" s="10">
        <f>B5</f>
        <v>43040</v>
      </c>
      <c r="J5">
        <v>0</v>
      </c>
      <c r="K5">
        <v>0</v>
      </c>
      <c r="L5" s="10">
        <v>43280</v>
      </c>
      <c r="M5" s="3">
        <v>10141</v>
      </c>
      <c r="N5" s="3">
        <v>16451</v>
      </c>
      <c r="O5" s="30">
        <f t="shared" si="0"/>
        <v>16451</v>
      </c>
      <c r="P5" s="30">
        <f>M5-J5</f>
        <v>10141</v>
      </c>
      <c r="Q5" s="28">
        <f t="shared" si="1"/>
        <v>2056.375</v>
      </c>
      <c r="R5" s="28">
        <f t="shared" si="2"/>
        <v>1267.625</v>
      </c>
      <c r="S5" s="32">
        <f t="shared" si="3"/>
        <v>1056.375</v>
      </c>
      <c r="T5" s="32">
        <f t="shared" si="4"/>
        <v>1167.625</v>
      </c>
      <c r="U5" s="14" t="s">
        <v>44</v>
      </c>
    </row>
    <row r="6" spans="1:21" x14ac:dyDescent="0.25">
      <c r="A6" s="37" t="str">
        <f>noleggi!C4</f>
        <v>DIGITAL MARKETING 0</v>
      </c>
      <c r="B6" s="39">
        <f>noleggi!D4</f>
        <v>43221</v>
      </c>
      <c r="C6" s="38" t="str">
        <f>noleggi!F4</f>
        <v>TA 2506i</v>
      </c>
      <c r="D6" s="42">
        <v>3</v>
      </c>
      <c r="E6" s="5">
        <v>3000</v>
      </c>
      <c r="F6" s="3">
        <v>0.01</v>
      </c>
      <c r="G6" s="3">
        <v>300</v>
      </c>
      <c r="H6" s="7">
        <v>0.08</v>
      </c>
      <c r="I6" s="10">
        <f t="shared" ref="I6:I23" si="5">B6</f>
        <v>43221</v>
      </c>
      <c r="J6">
        <v>0</v>
      </c>
      <c r="K6">
        <v>0</v>
      </c>
      <c r="L6" s="10">
        <v>43280</v>
      </c>
      <c r="M6" s="3">
        <v>515</v>
      </c>
      <c r="N6">
        <v>1077</v>
      </c>
      <c r="O6" s="30">
        <f t="shared" si="0"/>
        <v>1077</v>
      </c>
      <c r="P6" s="30">
        <f t="shared" ref="P6" si="6">M6-J6</f>
        <v>515</v>
      </c>
      <c r="Q6" s="28">
        <f t="shared" si="1"/>
        <v>538.5</v>
      </c>
      <c r="R6" s="28">
        <f t="shared" si="2"/>
        <v>257.5</v>
      </c>
      <c r="S6" s="32">
        <f t="shared" si="3"/>
        <v>-461.5</v>
      </c>
      <c r="T6" s="32">
        <f t="shared" si="4"/>
        <v>157.5</v>
      </c>
      <c r="U6" s="14" t="s">
        <v>44</v>
      </c>
    </row>
    <row r="7" spans="1:21" x14ac:dyDescent="0.25">
      <c r="A7" s="37" t="str">
        <f>noleggi!C5</f>
        <v>FILATURA PREALPINA</v>
      </c>
      <c r="B7" s="39">
        <f>noleggi!D5</f>
        <v>43191</v>
      </c>
      <c r="C7" s="38" t="str">
        <f>noleggi!F5</f>
        <v>TA 2506i</v>
      </c>
      <c r="D7" s="42">
        <v>3</v>
      </c>
      <c r="E7" s="5">
        <v>3000</v>
      </c>
      <c r="F7">
        <v>0.01</v>
      </c>
      <c r="G7">
        <v>300</v>
      </c>
      <c r="H7">
        <v>0.09</v>
      </c>
      <c r="I7" s="10">
        <f t="shared" si="5"/>
        <v>43191</v>
      </c>
      <c r="J7">
        <v>0</v>
      </c>
      <c r="K7">
        <v>0</v>
      </c>
      <c r="L7" s="10">
        <v>43280</v>
      </c>
      <c r="M7">
        <v>412</v>
      </c>
      <c r="N7">
        <v>5240</v>
      </c>
      <c r="O7" s="30">
        <f t="shared" ref="O7:O9" si="7">N7-K7</f>
        <v>5240</v>
      </c>
      <c r="P7" s="30">
        <f t="shared" ref="P7:P9" si="8">M7-J7</f>
        <v>412</v>
      </c>
      <c r="Q7" s="28">
        <f t="shared" ref="Q7:Q9" si="9">(N7-K7)/MONTH(L7-I7)</f>
        <v>1746.6666666666667</v>
      </c>
      <c r="R7" s="28">
        <f t="shared" ref="R7:R9" si="10">(M7-J7)/MONTH(L7-I7)</f>
        <v>137.33333333333334</v>
      </c>
      <c r="S7" s="32">
        <f t="shared" si="3"/>
        <v>746.66666666666674</v>
      </c>
      <c r="T7" s="32">
        <f t="shared" si="4"/>
        <v>37.333333333333343</v>
      </c>
      <c r="U7" s="14" t="s">
        <v>44</v>
      </c>
    </row>
    <row r="8" spans="1:21" x14ac:dyDescent="0.25">
      <c r="A8" s="37" t="str">
        <f>noleggi!C6</f>
        <v>FINAZZI GEOM LORIS</v>
      </c>
      <c r="B8" s="39">
        <f>noleggi!D6</f>
        <v>43252</v>
      </c>
      <c r="C8" s="38" t="str">
        <f>noleggi!F6</f>
        <v>TA 2506i</v>
      </c>
      <c r="D8" s="42">
        <v>3</v>
      </c>
      <c r="E8" s="5">
        <v>3000</v>
      </c>
      <c r="F8">
        <v>0.01</v>
      </c>
      <c r="G8">
        <v>300</v>
      </c>
      <c r="H8" s="7">
        <v>0.08</v>
      </c>
      <c r="I8" s="10">
        <f t="shared" si="5"/>
        <v>43252</v>
      </c>
      <c r="J8">
        <v>0</v>
      </c>
      <c r="K8">
        <v>0</v>
      </c>
      <c r="L8" s="10">
        <v>43280</v>
      </c>
      <c r="M8">
        <v>467</v>
      </c>
      <c r="N8">
        <v>12</v>
      </c>
      <c r="O8" s="30">
        <f t="shared" si="7"/>
        <v>12</v>
      </c>
      <c r="P8" s="30">
        <f t="shared" si="8"/>
        <v>467</v>
      </c>
      <c r="Q8" s="28">
        <f t="shared" si="9"/>
        <v>12</v>
      </c>
      <c r="R8" s="28">
        <f t="shared" si="10"/>
        <v>467</v>
      </c>
      <c r="S8" s="32">
        <f t="shared" si="3"/>
        <v>-988</v>
      </c>
      <c r="T8" s="32">
        <f t="shared" si="4"/>
        <v>367</v>
      </c>
      <c r="U8" s="14"/>
    </row>
    <row r="9" spans="1:21" x14ac:dyDescent="0.25">
      <c r="A9" s="37" t="str">
        <f>noleggi!C7</f>
        <v>FRERI E BRIGNOLI</v>
      </c>
      <c r="B9" s="39">
        <f>noleggi!D7</f>
        <v>43221</v>
      </c>
      <c r="C9" s="38" t="str">
        <f>noleggi!F7</f>
        <v>TA 2506i</v>
      </c>
      <c r="D9" s="42">
        <v>3</v>
      </c>
      <c r="E9" s="5">
        <v>3000</v>
      </c>
      <c r="F9">
        <v>0.01</v>
      </c>
      <c r="G9">
        <v>300</v>
      </c>
      <c r="H9">
        <v>0.09</v>
      </c>
      <c r="I9" s="10">
        <f t="shared" si="5"/>
        <v>43221</v>
      </c>
      <c r="J9">
        <v>0</v>
      </c>
      <c r="K9">
        <v>0</v>
      </c>
      <c r="L9" s="10">
        <v>43280</v>
      </c>
      <c r="M9">
        <v>672</v>
      </c>
      <c r="N9">
        <v>593</v>
      </c>
      <c r="O9" s="30">
        <f t="shared" si="7"/>
        <v>593</v>
      </c>
      <c r="P9" s="30">
        <f t="shared" si="8"/>
        <v>672</v>
      </c>
      <c r="Q9" s="28">
        <f t="shared" si="9"/>
        <v>296.5</v>
      </c>
      <c r="R9" s="28">
        <f t="shared" si="10"/>
        <v>336</v>
      </c>
      <c r="S9" s="32">
        <f t="shared" si="3"/>
        <v>-703.5</v>
      </c>
      <c r="T9" s="32">
        <f t="shared" si="4"/>
        <v>236</v>
      </c>
      <c r="U9" s="14"/>
    </row>
    <row r="10" spans="1:21" x14ac:dyDescent="0.25">
      <c r="A10" s="37" t="str">
        <f>noleggi!C8</f>
        <v>GHILARDI ROMANO</v>
      </c>
      <c r="B10" s="39">
        <f>noleggi!D8</f>
        <v>43101</v>
      </c>
      <c r="C10" s="38" t="str">
        <f>noleggi!F8</f>
        <v>TA 2506i</v>
      </c>
      <c r="D10" s="42">
        <v>3</v>
      </c>
      <c r="E10" s="5">
        <v>3000</v>
      </c>
      <c r="F10" s="3">
        <v>0.01</v>
      </c>
      <c r="G10" s="3">
        <v>300</v>
      </c>
      <c r="H10" s="3">
        <v>0.09</v>
      </c>
      <c r="I10" s="10">
        <f t="shared" si="5"/>
        <v>43101</v>
      </c>
      <c r="J10">
        <v>0</v>
      </c>
      <c r="K10">
        <v>0</v>
      </c>
      <c r="L10" s="10">
        <v>43286</v>
      </c>
      <c r="M10">
        <v>738</v>
      </c>
      <c r="N10">
        <v>2199</v>
      </c>
      <c r="O10" s="30">
        <f t="shared" ref="O10:O21" si="11">N10-K10</f>
        <v>2199</v>
      </c>
      <c r="P10" s="30">
        <f t="shared" ref="P10:P21" si="12">M10-J10</f>
        <v>738</v>
      </c>
      <c r="Q10" s="28">
        <f t="shared" ref="Q10:Q21" si="13">(N10-K10)/MONTH(L10-I10)</f>
        <v>314.14285714285717</v>
      </c>
      <c r="R10" s="28">
        <f t="shared" ref="R10:R21" si="14">(M10-J10)/MONTH(L10-I10)</f>
        <v>105.42857142857143</v>
      </c>
      <c r="S10" s="32">
        <f t="shared" ref="S10:S21" si="15">Q10-E10/D10</f>
        <v>-685.85714285714289</v>
      </c>
      <c r="T10" s="32">
        <f t="shared" ref="T10:T21" si="16">R10-G10/D10</f>
        <v>5.4285714285714306</v>
      </c>
      <c r="U10" s="14"/>
    </row>
    <row r="11" spans="1:21" x14ac:dyDescent="0.25">
      <c r="A11" s="37" t="str">
        <f>noleggi!C10</f>
        <v>JOSUEL BROKER</v>
      </c>
      <c r="B11" s="39">
        <f>noleggi!D10</f>
        <v>43009</v>
      </c>
      <c r="C11" s="38" t="str">
        <f>noleggi!F10</f>
        <v>RICOH MPC 2011</v>
      </c>
      <c r="D11" s="42">
        <v>3</v>
      </c>
      <c r="E11" s="5">
        <v>3000</v>
      </c>
      <c r="F11" s="3">
        <v>0.01</v>
      </c>
      <c r="G11" s="3">
        <v>300</v>
      </c>
      <c r="H11" s="3">
        <v>0.09</v>
      </c>
      <c r="I11" s="10">
        <f t="shared" si="5"/>
        <v>43009</v>
      </c>
      <c r="J11">
        <v>0</v>
      </c>
      <c r="K11">
        <v>0</v>
      </c>
      <c r="L11" s="10">
        <v>43280</v>
      </c>
      <c r="M11">
        <v>2083</v>
      </c>
      <c r="N11">
        <v>23391</v>
      </c>
      <c r="O11" s="30">
        <f t="shared" si="11"/>
        <v>23391</v>
      </c>
      <c r="P11" s="30">
        <f t="shared" si="12"/>
        <v>2083</v>
      </c>
      <c r="Q11" s="28">
        <f t="shared" si="13"/>
        <v>2599</v>
      </c>
      <c r="R11" s="28">
        <f t="shared" si="14"/>
        <v>231.44444444444446</v>
      </c>
      <c r="S11" s="32">
        <f t="shared" si="15"/>
        <v>1599</v>
      </c>
      <c r="T11" s="32">
        <f t="shared" si="16"/>
        <v>131.44444444444446</v>
      </c>
      <c r="U11" s="14" t="s">
        <v>44</v>
      </c>
    </row>
    <row r="12" spans="1:21" x14ac:dyDescent="0.25">
      <c r="A12" s="37" t="str">
        <f>noleggi!C11</f>
        <v>NEW NEV</v>
      </c>
      <c r="B12" s="39">
        <f>noleggi!D11</f>
        <v>42917</v>
      </c>
      <c r="C12" s="38" t="str">
        <f>noleggi!F11</f>
        <v>RICOH MPC 2003</v>
      </c>
      <c r="D12" s="42">
        <v>3</v>
      </c>
      <c r="E12" s="5">
        <v>3000</v>
      </c>
      <c r="F12" s="3">
        <v>0.01</v>
      </c>
      <c r="G12" s="3">
        <v>300</v>
      </c>
      <c r="H12" s="3">
        <v>0.09</v>
      </c>
      <c r="I12" s="10">
        <f t="shared" si="5"/>
        <v>42917</v>
      </c>
      <c r="J12">
        <v>0</v>
      </c>
      <c r="K12">
        <v>0</v>
      </c>
      <c r="L12" s="10">
        <v>43280</v>
      </c>
      <c r="M12">
        <v>1893</v>
      </c>
      <c r="N12">
        <v>20349</v>
      </c>
      <c r="O12" s="30">
        <f t="shared" si="11"/>
        <v>20349</v>
      </c>
      <c r="P12" s="30">
        <f t="shared" si="12"/>
        <v>1893</v>
      </c>
      <c r="Q12" s="28">
        <f t="shared" si="13"/>
        <v>1695.75</v>
      </c>
      <c r="R12" s="28">
        <f t="shared" si="14"/>
        <v>157.75</v>
      </c>
      <c r="S12" s="32">
        <f t="shared" si="15"/>
        <v>695.75</v>
      </c>
      <c r="T12" s="32">
        <f t="shared" si="16"/>
        <v>57.75</v>
      </c>
      <c r="U12" s="14" t="s">
        <v>44</v>
      </c>
    </row>
    <row r="13" spans="1:21" x14ac:dyDescent="0.25">
      <c r="A13" s="37" t="str">
        <f>noleggi!C12</f>
        <v>PIAZZALUNGA</v>
      </c>
      <c r="B13" s="39">
        <f>noleggi!D12</f>
        <v>43101</v>
      </c>
      <c r="C13" s="38" t="str">
        <f>noleggi!F12</f>
        <v>TA 2506i</v>
      </c>
      <c r="D13" s="42">
        <v>3</v>
      </c>
      <c r="E13" s="5">
        <v>5000</v>
      </c>
      <c r="F13" s="3">
        <v>0.01</v>
      </c>
      <c r="G13" s="3">
        <v>500</v>
      </c>
      <c r="H13" s="3">
        <v>0.09</v>
      </c>
      <c r="I13" s="10">
        <f t="shared" si="5"/>
        <v>43101</v>
      </c>
      <c r="J13">
        <v>0</v>
      </c>
      <c r="K13">
        <v>0</v>
      </c>
      <c r="L13" s="10">
        <v>43280</v>
      </c>
      <c r="M13">
        <v>7947</v>
      </c>
      <c r="N13">
        <v>10808</v>
      </c>
      <c r="O13" s="30">
        <f t="shared" si="11"/>
        <v>10808</v>
      </c>
      <c r="P13" s="30">
        <f t="shared" si="12"/>
        <v>7947</v>
      </c>
      <c r="Q13" s="28">
        <f t="shared" si="13"/>
        <v>1801.3333333333333</v>
      </c>
      <c r="R13" s="28">
        <f t="shared" si="14"/>
        <v>1324.5</v>
      </c>
      <c r="S13" s="32">
        <f t="shared" si="15"/>
        <v>134.66666666666652</v>
      </c>
      <c r="T13" s="32">
        <f t="shared" si="16"/>
        <v>1157.8333333333333</v>
      </c>
      <c r="U13" s="14" t="s">
        <v>44</v>
      </c>
    </row>
    <row r="14" spans="1:21" x14ac:dyDescent="0.25">
      <c r="A14" s="37" t="str">
        <f>noleggi!C13</f>
        <v>PIAZZALUNGA</v>
      </c>
      <c r="B14" s="39">
        <f>noleggi!D13</f>
        <v>43344</v>
      </c>
      <c r="C14" s="38" t="str">
        <f>noleggi!F13</f>
        <v>TA 2506i</v>
      </c>
      <c r="D14" s="42">
        <v>3</v>
      </c>
      <c r="E14" s="5">
        <v>5000</v>
      </c>
      <c r="F14" s="3">
        <v>0.01</v>
      </c>
      <c r="G14" s="3">
        <v>500</v>
      </c>
      <c r="H14" s="3">
        <v>0.09</v>
      </c>
      <c r="I14" s="10"/>
      <c r="J14"/>
      <c r="K14"/>
      <c r="L14" s="10"/>
      <c r="M14"/>
      <c r="N14"/>
      <c r="O14" s="30">
        <f t="shared" si="11"/>
        <v>0</v>
      </c>
      <c r="P14" s="30">
        <f t="shared" si="12"/>
        <v>0</v>
      </c>
      <c r="Q14" s="28">
        <f t="shared" si="13"/>
        <v>0</v>
      </c>
      <c r="R14" s="28">
        <f t="shared" si="14"/>
        <v>0</v>
      </c>
      <c r="S14" s="32">
        <f t="shared" si="15"/>
        <v>-1666.6666666666667</v>
      </c>
      <c r="T14" s="32">
        <f t="shared" si="16"/>
        <v>-166.66666666666666</v>
      </c>
      <c r="U14" s="14"/>
    </row>
    <row r="15" spans="1:21" x14ac:dyDescent="0.25">
      <c r="A15" s="37" t="s">
        <v>87</v>
      </c>
      <c r="B15" s="39">
        <v>43405</v>
      </c>
      <c r="C15" s="38" t="str">
        <f>noleggi!F14</f>
        <v>TA 2506i</v>
      </c>
      <c r="D15" s="42">
        <v>3</v>
      </c>
      <c r="E15" s="5">
        <v>3000</v>
      </c>
      <c r="F15">
        <v>0.01</v>
      </c>
      <c r="G15">
        <v>300</v>
      </c>
      <c r="H15" s="7">
        <v>0.08</v>
      </c>
      <c r="I15" s="10"/>
      <c r="J15"/>
      <c r="K15"/>
      <c r="L15" s="10"/>
      <c r="M15"/>
      <c r="N15"/>
      <c r="O15" s="30">
        <f t="shared" si="11"/>
        <v>0</v>
      </c>
      <c r="P15" s="30">
        <f t="shared" si="12"/>
        <v>0</v>
      </c>
      <c r="Q15" s="28">
        <f t="shared" si="13"/>
        <v>0</v>
      </c>
      <c r="R15" s="28">
        <f t="shared" si="14"/>
        <v>0</v>
      </c>
      <c r="S15" s="32">
        <f t="shared" si="15"/>
        <v>-1000</v>
      </c>
      <c r="T15" s="32">
        <f t="shared" si="16"/>
        <v>-100</v>
      </c>
      <c r="U15" s="14"/>
    </row>
    <row r="16" spans="1:21" x14ac:dyDescent="0.25">
      <c r="A16" s="37" t="str">
        <f>noleggi!C15</f>
        <v>SEFF</v>
      </c>
      <c r="B16" s="39">
        <f>noleggi!D15</f>
        <v>43313</v>
      </c>
      <c r="C16" s="38" t="str">
        <f>noleggi!F15</f>
        <v xml:space="preserve">EPSON WF-6590DWF </v>
      </c>
      <c r="D16" s="42">
        <v>3</v>
      </c>
      <c r="E16" s="5">
        <v>3000</v>
      </c>
      <c r="F16" s="3">
        <v>0.01</v>
      </c>
      <c r="G16">
        <v>300</v>
      </c>
      <c r="H16" s="3">
        <v>0.09</v>
      </c>
      <c r="I16" s="10">
        <f t="shared" si="5"/>
        <v>43313</v>
      </c>
      <c r="J16">
        <v>0</v>
      </c>
      <c r="K16">
        <v>0</v>
      </c>
      <c r="L16" s="10">
        <v>43280</v>
      </c>
      <c r="M16">
        <v>2736</v>
      </c>
      <c r="N16">
        <v>2634</v>
      </c>
      <c r="O16" s="30">
        <f t="shared" si="11"/>
        <v>2634</v>
      </c>
      <c r="P16" s="30">
        <f t="shared" si="12"/>
        <v>2736</v>
      </c>
      <c r="Q16" s="28" t="e">
        <f t="shared" si="13"/>
        <v>#NUM!</v>
      </c>
      <c r="R16" s="28" t="e">
        <f t="shared" si="14"/>
        <v>#NUM!</v>
      </c>
      <c r="S16" s="32" t="e">
        <f t="shared" si="15"/>
        <v>#NUM!</v>
      </c>
      <c r="T16" s="32" t="e">
        <f t="shared" si="16"/>
        <v>#NUM!</v>
      </c>
      <c r="U16" s="14" t="s">
        <v>44</v>
      </c>
    </row>
    <row r="17" spans="1:26" x14ac:dyDescent="0.25">
      <c r="A17" s="37" t="str">
        <f>noleggi!C16</f>
        <v>SMEA</v>
      </c>
      <c r="B17" s="39">
        <f>noleggi!D16</f>
        <v>43191</v>
      </c>
      <c r="C17" s="38" t="str">
        <f>noleggi!F16</f>
        <v>TA 2506i</v>
      </c>
      <c r="D17" s="42">
        <v>3</v>
      </c>
      <c r="E17" s="5">
        <v>3000</v>
      </c>
      <c r="F17" s="3">
        <v>0.01</v>
      </c>
      <c r="G17">
        <v>300</v>
      </c>
      <c r="H17" s="3">
        <v>0.09</v>
      </c>
      <c r="I17" s="10">
        <f t="shared" si="5"/>
        <v>43191</v>
      </c>
      <c r="J17">
        <v>0</v>
      </c>
      <c r="K17">
        <v>0</v>
      </c>
      <c r="L17" s="10">
        <v>43283</v>
      </c>
      <c r="M17"/>
      <c r="N17"/>
      <c r="O17" s="30">
        <f t="shared" si="11"/>
        <v>0</v>
      </c>
      <c r="P17" s="30">
        <f t="shared" si="12"/>
        <v>0</v>
      </c>
      <c r="Q17" s="28">
        <f t="shared" si="13"/>
        <v>0</v>
      </c>
      <c r="R17" s="28">
        <f t="shared" si="14"/>
        <v>0</v>
      </c>
      <c r="S17" s="32">
        <f t="shared" si="15"/>
        <v>-1000</v>
      </c>
      <c r="T17" s="32">
        <f t="shared" si="16"/>
        <v>-100</v>
      </c>
      <c r="U17" s="14"/>
    </row>
    <row r="18" spans="1:26" x14ac:dyDescent="0.25">
      <c r="A18" s="37" t="s">
        <v>89</v>
      </c>
      <c r="B18" s="39">
        <v>43435</v>
      </c>
      <c r="C18" s="38" t="str">
        <f>noleggi!F17</f>
        <v>TA 2506i</v>
      </c>
      <c r="D18" s="42">
        <v>3</v>
      </c>
      <c r="E18" s="5">
        <v>3000</v>
      </c>
      <c r="F18" s="3">
        <v>0.01</v>
      </c>
      <c r="G18">
        <v>300</v>
      </c>
      <c r="H18" s="3">
        <v>0.09</v>
      </c>
      <c r="I18" s="10"/>
      <c r="J18"/>
      <c r="K18"/>
      <c r="L18" s="10"/>
      <c r="M18"/>
      <c r="N18"/>
      <c r="O18" s="30">
        <f t="shared" si="11"/>
        <v>0</v>
      </c>
      <c r="P18" s="30">
        <f t="shared" si="12"/>
        <v>0</v>
      </c>
      <c r="Q18" s="28">
        <f t="shared" si="13"/>
        <v>0</v>
      </c>
      <c r="R18" s="28">
        <f t="shared" si="14"/>
        <v>0</v>
      </c>
      <c r="S18" s="32">
        <f t="shared" si="15"/>
        <v>-1000</v>
      </c>
      <c r="T18" s="32">
        <f t="shared" si="16"/>
        <v>-100</v>
      </c>
      <c r="U18" s="14"/>
    </row>
    <row r="19" spans="1:26" x14ac:dyDescent="0.25">
      <c r="A19" s="48" t="str">
        <f>noleggi!C18</f>
        <v>SV GOMMA</v>
      </c>
      <c r="B19" s="49">
        <f>noleggi!D18</f>
        <v>42917</v>
      </c>
      <c r="C19" s="50" t="str">
        <f>noleggi!F18</f>
        <v>RICOH MPC 2011</v>
      </c>
      <c r="D19" s="51">
        <v>3</v>
      </c>
      <c r="E19" s="52">
        <v>3000</v>
      </c>
      <c r="F19" s="7">
        <v>0.01</v>
      </c>
      <c r="G19" s="7">
        <v>300</v>
      </c>
      <c r="H19" s="7">
        <v>0.09</v>
      </c>
      <c r="I19" s="45">
        <f t="shared" si="5"/>
        <v>42917</v>
      </c>
      <c r="J19" s="7">
        <v>0</v>
      </c>
      <c r="K19" s="7">
        <v>0</v>
      </c>
      <c r="L19" s="45">
        <v>43280</v>
      </c>
      <c r="M19" s="7">
        <v>2738</v>
      </c>
      <c r="N19" s="3">
        <v>35070</v>
      </c>
      <c r="O19" s="30">
        <f t="shared" si="11"/>
        <v>35070</v>
      </c>
      <c r="P19" s="30">
        <f t="shared" si="12"/>
        <v>2738</v>
      </c>
      <c r="Q19" s="28">
        <f t="shared" si="13"/>
        <v>2922.5</v>
      </c>
      <c r="R19" s="28">
        <f t="shared" si="14"/>
        <v>228.16666666666666</v>
      </c>
      <c r="S19" s="32">
        <f t="shared" si="15"/>
        <v>1922.5</v>
      </c>
      <c r="T19" s="32">
        <f t="shared" si="16"/>
        <v>128.16666666666666</v>
      </c>
      <c r="U19" s="14" t="s">
        <v>44</v>
      </c>
      <c r="V19" t="s">
        <v>101</v>
      </c>
    </row>
    <row r="20" spans="1:26" x14ac:dyDescent="0.25">
      <c r="A20" s="48" t="str">
        <f>noleggi!C19</f>
        <v>SV GOMMA</v>
      </c>
      <c r="B20" s="49">
        <f>noleggi!D19</f>
        <v>43101</v>
      </c>
      <c r="C20" s="50" t="str">
        <f>noleggi!F19</f>
        <v>TA 2506i</v>
      </c>
      <c r="D20" s="51">
        <v>1</v>
      </c>
      <c r="E20" s="52">
        <v>1000</v>
      </c>
      <c r="F20" s="7">
        <v>0.01</v>
      </c>
      <c r="G20" s="7">
        <v>100</v>
      </c>
      <c r="H20" s="7">
        <v>0.09</v>
      </c>
      <c r="I20" s="45">
        <f t="shared" si="5"/>
        <v>43101</v>
      </c>
      <c r="J20" s="7">
        <v>0</v>
      </c>
      <c r="K20" s="7">
        <v>0</v>
      </c>
      <c r="L20" s="45">
        <v>43280</v>
      </c>
      <c r="M20" s="7">
        <v>2108</v>
      </c>
      <c r="N20" s="7">
        <v>26650</v>
      </c>
      <c r="O20" s="30">
        <f t="shared" si="11"/>
        <v>26650</v>
      </c>
      <c r="P20" s="30">
        <f t="shared" si="12"/>
        <v>2108</v>
      </c>
      <c r="Q20" s="28">
        <f t="shared" si="13"/>
        <v>4441.666666666667</v>
      </c>
      <c r="R20" s="28">
        <f t="shared" si="14"/>
        <v>351.33333333333331</v>
      </c>
      <c r="S20" s="32">
        <f t="shared" si="15"/>
        <v>3441.666666666667</v>
      </c>
      <c r="T20" s="32">
        <f t="shared" si="16"/>
        <v>251.33333333333331</v>
      </c>
      <c r="U20" s="14" t="s">
        <v>44</v>
      </c>
      <c r="V20" t="s">
        <v>101</v>
      </c>
    </row>
    <row r="21" spans="1:26" x14ac:dyDescent="0.25">
      <c r="A21" s="48" t="str">
        <f>noleggi!C20</f>
        <v>SV GOMMA</v>
      </c>
      <c r="B21" s="49">
        <f>noleggi!D20</f>
        <v>43009</v>
      </c>
      <c r="C21" s="50" t="str">
        <f>noleggi!F20</f>
        <v xml:space="preserve">TA 4006i </v>
      </c>
      <c r="D21" s="51">
        <v>1</v>
      </c>
      <c r="E21" s="52">
        <v>5000</v>
      </c>
      <c r="F21" s="7">
        <v>0.01</v>
      </c>
      <c r="G21" s="7">
        <v>300</v>
      </c>
      <c r="H21" s="7">
        <v>0.09</v>
      </c>
      <c r="I21" s="45">
        <f t="shared" si="5"/>
        <v>43009</v>
      </c>
      <c r="J21" s="7">
        <v>0</v>
      </c>
      <c r="K21" s="7">
        <v>0</v>
      </c>
      <c r="L21" s="45">
        <v>43280</v>
      </c>
      <c r="M21" s="53">
        <v>2276</v>
      </c>
      <c r="N21" s="53">
        <v>60019</v>
      </c>
      <c r="O21" s="30">
        <f t="shared" si="11"/>
        <v>60019</v>
      </c>
      <c r="P21" s="30">
        <f t="shared" si="12"/>
        <v>2276</v>
      </c>
      <c r="Q21" s="28">
        <f t="shared" si="13"/>
        <v>6668.7777777777774</v>
      </c>
      <c r="R21" s="28">
        <f t="shared" si="14"/>
        <v>252.88888888888889</v>
      </c>
      <c r="S21" s="32">
        <f t="shared" si="15"/>
        <v>1668.7777777777774</v>
      </c>
      <c r="T21" s="32">
        <f t="shared" si="16"/>
        <v>-47.111111111111114</v>
      </c>
      <c r="U21" s="14" t="s">
        <v>44</v>
      </c>
      <c r="V21">
        <v>15021</v>
      </c>
    </row>
    <row r="22" spans="1:26" x14ac:dyDescent="0.25">
      <c r="A22" s="48" t="str">
        <f>noleggi!C21</f>
        <v>SV GOMMA</v>
      </c>
      <c r="B22" s="49">
        <f>noleggi!D21</f>
        <v>42979</v>
      </c>
      <c r="C22" s="50" t="str">
        <f>noleggi!F21</f>
        <v xml:space="preserve">TA B/N 5056i </v>
      </c>
      <c r="D22" s="51">
        <v>3</v>
      </c>
      <c r="E22" s="52">
        <v>15000</v>
      </c>
      <c r="F22" s="7">
        <v>0.01</v>
      </c>
      <c r="G22" s="7">
        <v>0</v>
      </c>
      <c r="H22" s="7">
        <v>0</v>
      </c>
      <c r="I22" s="45">
        <v>42979</v>
      </c>
      <c r="J22" s="7"/>
      <c r="K22" s="7"/>
      <c r="L22" s="45">
        <v>43645</v>
      </c>
      <c r="M22" s="7"/>
      <c r="N22" s="53">
        <v>87491</v>
      </c>
      <c r="O22" s="30">
        <f t="shared" ref="O22" si="17">N22-K22</f>
        <v>87491</v>
      </c>
      <c r="P22" s="30">
        <f t="shared" ref="P22" si="18">M22-J22</f>
        <v>0</v>
      </c>
      <c r="Q22" s="28">
        <f t="shared" ref="Q22" si="19">(N22-K22)/MONTH(L22-I22)</f>
        <v>8749.1</v>
      </c>
      <c r="R22" s="28">
        <f t="shared" ref="R22" si="20">(M22-J22)/MONTH(L22-I22)</f>
        <v>0</v>
      </c>
      <c r="S22" s="32">
        <f t="shared" ref="S22" si="21">Q22-E22/D22</f>
        <v>3749.1000000000004</v>
      </c>
      <c r="T22" s="32">
        <f t="shared" ref="T22" si="22">R22-G22/D22</f>
        <v>0</v>
      </c>
      <c r="U22" s="14"/>
      <c r="V22">
        <v>37491</v>
      </c>
    </row>
    <row r="23" spans="1:26" x14ac:dyDescent="0.25">
      <c r="A23" s="37" t="str">
        <f>noleggi!C24</f>
        <v>VALLI HOME</v>
      </c>
      <c r="B23" s="39">
        <f>noleggi!D24</f>
        <v>43191</v>
      </c>
      <c r="C23" s="38" t="str">
        <f>noleggi!F24</f>
        <v>TA 2506i</v>
      </c>
      <c r="D23" s="42">
        <v>3</v>
      </c>
      <c r="E23" s="5">
        <v>3000</v>
      </c>
      <c r="F23" s="3">
        <v>0.01</v>
      </c>
      <c r="G23" s="3">
        <v>300</v>
      </c>
      <c r="H23" s="7">
        <v>0.08</v>
      </c>
      <c r="I23" s="10">
        <f t="shared" si="5"/>
        <v>43191</v>
      </c>
      <c r="J23">
        <v>0</v>
      </c>
      <c r="K23">
        <v>0</v>
      </c>
      <c r="L23" s="10">
        <v>43280</v>
      </c>
      <c r="M23">
        <v>1217</v>
      </c>
      <c r="N23">
        <v>6708</v>
      </c>
      <c r="O23" s="30">
        <f t="shared" ref="O23" si="23">N23-K23</f>
        <v>6708</v>
      </c>
      <c r="P23" s="30">
        <f t="shared" ref="P23" si="24">M23-J23</f>
        <v>1217</v>
      </c>
      <c r="Q23" s="28">
        <f t="shared" ref="Q23" si="25">(N23-K23)/MONTH(L23-I23)</f>
        <v>2236</v>
      </c>
      <c r="R23" s="28">
        <f t="shared" ref="R23" si="26">(M23-J23)/MONTH(L23-I23)</f>
        <v>405.66666666666669</v>
      </c>
      <c r="S23" s="32">
        <f t="shared" ref="S23" si="27">Q23-E23/D23</f>
        <v>1236</v>
      </c>
      <c r="T23" s="32">
        <f t="shared" ref="T23" si="28">R23-G23/D23</f>
        <v>305.66666666666669</v>
      </c>
      <c r="U23" s="14" t="s">
        <v>44</v>
      </c>
    </row>
    <row r="24" spans="1:26" x14ac:dyDescent="0.25">
      <c r="B24" s="40"/>
      <c r="I24" s="10"/>
      <c r="L24" s="10"/>
    </row>
    <row r="25" spans="1:26" x14ac:dyDescent="0.25">
      <c r="B25" s="40"/>
      <c r="I25" s="10"/>
      <c r="L25" s="10"/>
    </row>
    <row r="26" spans="1:26" x14ac:dyDescent="0.25">
      <c r="B26" s="40"/>
      <c r="I26" s="10"/>
      <c r="L26" s="10"/>
    </row>
    <row r="27" spans="1:26" x14ac:dyDescent="0.25">
      <c r="I27" s="10"/>
      <c r="L27" s="10"/>
    </row>
    <row r="28" spans="1:26" x14ac:dyDescent="0.25">
      <c r="A28" s="7" t="s">
        <v>102</v>
      </c>
      <c r="I28" s="10"/>
      <c r="L28" s="10"/>
    </row>
    <row r="29" spans="1:26" s="63" customFormat="1" x14ac:dyDescent="0.25">
      <c r="A29" s="54" t="str">
        <f>'CONGUAGLI old o chiusi'!C34</f>
        <v>DELTA</v>
      </c>
      <c r="B29" s="55">
        <f>'CONGUAGLI old o chiusi'!D34</f>
        <v>43040</v>
      </c>
      <c r="C29" s="56" t="str">
        <f>'CONGUAGLI old o chiusi'!F34</f>
        <v>TA 2506i</v>
      </c>
      <c r="D29" s="57">
        <v>3</v>
      </c>
      <c r="E29" s="58">
        <v>3000</v>
      </c>
      <c r="F29" s="59">
        <v>0.01</v>
      </c>
      <c r="G29" s="59">
        <v>300</v>
      </c>
      <c r="H29" s="59">
        <v>0.09</v>
      </c>
      <c r="I29" s="60">
        <v>43280</v>
      </c>
      <c r="J29" s="59">
        <v>16451</v>
      </c>
      <c r="K29" s="59">
        <v>10141</v>
      </c>
      <c r="L29" s="61">
        <v>43493</v>
      </c>
      <c r="M29" s="62">
        <v>43697</v>
      </c>
      <c r="N29" s="59">
        <v>21590</v>
      </c>
      <c r="O29" s="63">
        <f>ROUND((L29-I29)/30.41,0.1)</f>
        <v>7</v>
      </c>
      <c r="P29" s="63">
        <f t="shared" ref="P29:Q31" si="29">M29-J29</f>
        <v>27246</v>
      </c>
      <c r="Q29" s="63">
        <f t="shared" si="29"/>
        <v>11449</v>
      </c>
      <c r="R29" s="64">
        <f>P29/O29</f>
        <v>3892.2857142857142</v>
      </c>
      <c r="S29" s="64">
        <f>Q29/O29</f>
        <v>1635.5714285714287</v>
      </c>
      <c r="T29" s="65">
        <f>R29-E29/D29</f>
        <v>2892.2857142857142</v>
      </c>
      <c r="U29" s="65">
        <f>S29-G29/D29</f>
        <v>1535.5714285714287</v>
      </c>
      <c r="V29" s="65">
        <f>T29*O29</f>
        <v>20246</v>
      </c>
      <c r="W29" s="65">
        <f>U29*O29</f>
        <v>10749</v>
      </c>
      <c r="X29" s="66">
        <f>V29*F29</f>
        <v>202.46</v>
      </c>
      <c r="Y29" s="66">
        <f>W29*H29</f>
        <v>967.41</v>
      </c>
      <c r="Z29" s="67" t="s">
        <v>44</v>
      </c>
    </row>
    <row r="30" spans="1:26" s="63" customFormat="1" x14ac:dyDescent="0.25">
      <c r="A30" s="54" t="str">
        <f>noleggi!C35</f>
        <v>AVV VALVES</v>
      </c>
      <c r="B30" s="55">
        <f>noleggi!D35</f>
        <v>42095</v>
      </c>
      <c r="C30" s="56" t="str">
        <f>noleggi!F35</f>
        <v>RICOH MP 2501</v>
      </c>
      <c r="D30" s="57">
        <v>2</v>
      </c>
      <c r="E30" s="58">
        <v>8000</v>
      </c>
      <c r="F30" s="59">
        <v>0.01</v>
      </c>
      <c r="G30" s="59">
        <v>0</v>
      </c>
      <c r="H30" s="59">
        <v>0</v>
      </c>
      <c r="I30" s="61">
        <v>43490</v>
      </c>
      <c r="J30" s="62">
        <v>271886</v>
      </c>
      <c r="K30" s="59"/>
      <c r="L30" s="61">
        <v>43553</v>
      </c>
      <c r="M30" s="62">
        <v>282455</v>
      </c>
      <c r="N30" s="62"/>
      <c r="O30" s="63">
        <f>ROUND((L30-I30)/30.41,0.1)</f>
        <v>2</v>
      </c>
      <c r="P30" s="63">
        <f t="shared" si="29"/>
        <v>10569</v>
      </c>
      <c r="Q30" s="63">
        <f t="shared" si="29"/>
        <v>0</v>
      </c>
      <c r="R30" s="64">
        <f>P30/O30</f>
        <v>5284.5</v>
      </c>
      <c r="S30" s="64">
        <f>Q30/O30</f>
        <v>0</v>
      </c>
      <c r="T30" s="65">
        <f>R30-E30/D30</f>
        <v>1284.5</v>
      </c>
      <c r="U30" s="65">
        <f>S30-G30/D30</f>
        <v>0</v>
      </c>
      <c r="V30" s="65">
        <f>T30*O30</f>
        <v>2569</v>
      </c>
      <c r="W30" s="65">
        <f>U30*O30</f>
        <v>0</v>
      </c>
      <c r="X30" s="66">
        <f>V30*F30</f>
        <v>25.69</v>
      </c>
      <c r="Y30" s="66">
        <f>W30*H30</f>
        <v>0</v>
      </c>
      <c r="Z30" s="67" t="s">
        <v>44</v>
      </c>
    </row>
    <row r="31" spans="1:26" s="63" customFormat="1" x14ac:dyDescent="0.25">
      <c r="A31" s="54" t="str">
        <f>noleggi!C36</f>
        <v>AVV VALVES</v>
      </c>
      <c r="B31" s="55">
        <f>noleggi!D36</f>
        <v>42095</v>
      </c>
      <c r="C31" s="56" t="str">
        <f>noleggi!F36</f>
        <v>RICOH MP 2501</v>
      </c>
      <c r="D31" s="57">
        <v>2</v>
      </c>
      <c r="E31" s="58">
        <v>4000</v>
      </c>
      <c r="F31" s="59">
        <v>0.01</v>
      </c>
      <c r="G31" s="59">
        <v>0</v>
      </c>
      <c r="H31" s="59">
        <v>0</v>
      </c>
      <c r="I31" s="61">
        <v>43490</v>
      </c>
      <c r="J31" s="62">
        <v>320927</v>
      </c>
      <c r="K31" s="59"/>
      <c r="L31" s="61">
        <v>43553</v>
      </c>
      <c r="M31" s="62">
        <v>333732</v>
      </c>
      <c r="N31" s="62"/>
      <c r="O31" s="63">
        <f>ROUND((L31-I31)/30.41,0.1)</f>
        <v>2</v>
      </c>
      <c r="P31" s="63">
        <f t="shared" si="29"/>
        <v>12805</v>
      </c>
      <c r="Q31" s="63">
        <f t="shared" si="29"/>
        <v>0</v>
      </c>
      <c r="R31" s="64">
        <f>P31/O31</f>
        <v>6402.5</v>
      </c>
      <c r="S31" s="64">
        <f>Q31/O31</f>
        <v>0</v>
      </c>
      <c r="T31" s="65">
        <f>R31-E31/D31</f>
        <v>4402.5</v>
      </c>
      <c r="U31" s="65">
        <f>S31-G31/D31</f>
        <v>0</v>
      </c>
      <c r="V31" s="65">
        <f>T31*O31</f>
        <v>8805</v>
      </c>
      <c r="W31" s="65">
        <f>U31*O31</f>
        <v>0</v>
      </c>
      <c r="X31" s="66">
        <f>V31*F31</f>
        <v>88.05</v>
      </c>
      <c r="Y31" s="66">
        <f>W31*H31</f>
        <v>0</v>
      </c>
      <c r="Z31" s="67" t="s">
        <v>44</v>
      </c>
    </row>
    <row r="32" spans="1:26" s="63" customFormat="1" x14ac:dyDescent="0.25">
      <c r="B32" s="55"/>
      <c r="C32" s="56"/>
      <c r="D32" s="57"/>
      <c r="E32" s="58"/>
      <c r="F32" s="59"/>
      <c r="G32" s="59"/>
      <c r="H32" s="59"/>
      <c r="I32" s="60"/>
      <c r="J32" s="59"/>
      <c r="K32" s="59"/>
      <c r="L32" s="60"/>
      <c r="M32" s="59"/>
      <c r="N32" s="59"/>
      <c r="O32" s="59"/>
      <c r="P32" s="59"/>
      <c r="Q32" s="59"/>
      <c r="U32" s="68"/>
    </row>
    <row r="33" spans="1:14" x14ac:dyDescent="0.25">
      <c r="I33" s="10"/>
      <c r="L33" s="10"/>
    </row>
    <row r="34" spans="1:14" s="3" customFormat="1" x14ac:dyDescent="0.25">
      <c r="A34" s="15" t="s">
        <v>38</v>
      </c>
      <c r="B34" t="s">
        <v>42</v>
      </c>
      <c r="C34" s="44" t="s">
        <v>12</v>
      </c>
      <c r="D34" s="6">
        <v>43040</v>
      </c>
      <c r="E34" s="6">
        <v>44835</v>
      </c>
      <c r="F34" s="3" t="s">
        <v>13</v>
      </c>
      <c r="G34" s="4">
        <v>0</v>
      </c>
      <c r="H34" s="4">
        <v>200</v>
      </c>
      <c r="J34" t="s">
        <v>34</v>
      </c>
      <c r="K34" t="s">
        <v>28</v>
      </c>
      <c r="L34" t="s">
        <v>29</v>
      </c>
      <c r="M34" s="4">
        <v>200</v>
      </c>
      <c r="N34" t="s">
        <v>30</v>
      </c>
    </row>
    <row r="35" spans="1:14" x14ac:dyDescent="0.25">
      <c r="I35" s="10"/>
      <c r="L35" s="10"/>
    </row>
    <row r="36" spans="1:14" x14ac:dyDescent="0.25">
      <c r="I36" s="10"/>
    </row>
  </sheetData>
  <conditionalFormatting sqref="S1:T28 S32:T1048576">
    <cfRule type="cellIs" dxfId="1" priority="3" operator="lessThan">
      <formula>0</formula>
    </cfRule>
  </conditionalFormatting>
  <conditionalFormatting sqref="T29:Y31">
    <cfRule type="cellIs" dxfId="0" priority="1" operator="lessThan">
      <formula>0</formula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Foglio7"/>
  <dimension ref="B3:F32"/>
  <sheetViews>
    <sheetView workbookViewId="0">
      <selection activeCell="F18" sqref="F18"/>
    </sheetView>
  </sheetViews>
  <sheetFormatPr defaultRowHeight="15" x14ac:dyDescent="0.25"/>
  <cols>
    <col min="2" max="2" width="42.7109375" bestFit="1" customWidth="1"/>
    <col min="3" max="3" width="9.42578125" style="1" bestFit="1" customWidth="1"/>
    <col min="4" max="4" width="3.42578125" customWidth="1"/>
    <col min="5" max="5" width="11" bestFit="1" customWidth="1"/>
    <col min="6" max="6" width="8.42578125" bestFit="1" customWidth="1"/>
  </cols>
  <sheetData>
    <row r="3" spans="2:6" x14ac:dyDescent="0.25">
      <c r="B3" t="s">
        <v>74</v>
      </c>
      <c r="C3" s="1">
        <v>450</v>
      </c>
      <c r="D3">
        <v>1</v>
      </c>
      <c r="E3" s="35">
        <f>D3*C3</f>
        <v>450</v>
      </c>
    </row>
    <row r="4" spans="2:6" x14ac:dyDescent="0.25">
      <c r="B4" t="s">
        <v>71</v>
      </c>
      <c r="C4" s="1">
        <v>0</v>
      </c>
      <c r="D4">
        <v>1</v>
      </c>
      <c r="E4" s="35">
        <f t="shared" ref="E4:E8" si="0">D4*C4</f>
        <v>0</v>
      </c>
    </row>
    <row r="5" spans="2:6" x14ac:dyDescent="0.25">
      <c r="B5" t="s">
        <v>73</v>
      </c>
      <c r="C5" s="1">
        <v>82</v>
      </c>
      <c r="D5">
        <v>3</v>
      </c>
      <c r="E5" s="35">
        <f t="shared" si="0"/>
        <v>246</v>
      </c>
    </row>
    <row r="6" spans="2:6" x14ac:dyDescent="0.25">
      <c r="B6" t="s">
        <v>72</v>
      </c>
      <c r="C6" s="1">
        <v>48</v>
      </c>
      <c r="D6">
        <v>3</v>
      </c>
      <c r="E6" s="35">
        <f t="shared" si="0"/>
        <v>144</v>
      </c>
    </row>
    <row r="7" spans="2:6" x14ac:dyDescent="0.25">
      <c r="B7" t="s">
        <v>72</v>
      </c>
      <c r="C7" s="1">
        <v>48</v>
      </c>
      <c r="D7">
        <v>3</v>
      </c>
      <c r="E7" s="35">
        <f t="shared" si="0"/>
        <v>144</v>
      </c>
    </row>
    <row r="8" spans="2:6" x14ac:dyDescent="0.25">
      <c r="B8" t="s">
        <v>72</v>
      </c>
      <c r="C8" s="1">
        <v>48</v>
      </c>
      <c r="D8">
        <v>3</v>
      </c>
      <c r="E8" s="35">
        <f t="shared" si="0"/>
        <v>144</v>
      </c>
    </row>
    <row r="11" spans="2:6" x14ac:dyDescent="0.25">
      <c r="E11" s="35">
        <f>SUM(E3:E10)</f>
        <v>1128</v>
      </c>
      <c r="F11" s="35">
        <f>E11/36</f>
        <v>31.333333333333332</v>
      </c>
    </row>
    <row r="12" spans="2:6" x14ac:dyDescent="0.25">
      <c r="E12" s="35">
        <f>F12*36</f>
        <v>1800</v>
      </c>
      <c r="F12" s="36">
        <v>50</v>
      </c>
    </row>
    <row r="14" spans="2:6" x14ac:dyDescent="0.25">
      <c r="E14" s="36">
        <f>E12-E11</f>
        <v>672</v>
      </c>
    </row>
    <row r="21" spans="2:6" x14ac:dyDescent="0.25">
      <c r="B21" t="s">
        <v>75</v>
      </c>
      <c r="C21" s="1">
        <v>600</v>
      </c>
      <c r="D21">
        <v>1</v>
      </c>
      <c r="E21" s="35">
        <f>D21*C21</f>
        <v>600</v>
      </c>
    </row>
    <row r="22" spans="2:6" x14ac:dyDescent="0.25">
      <c r="B22" t="s">
        <v>71</v>
      </c>
      <c r="C22" s="1">
        <v>0</v>
      </c>
      <c r="D22">
        <v>1</v>
      </c>
      <c r="E22" s="35">
        <f t="shared" ref="E22:E26" si="1">D22*C22</f>
        <v>0</v>
      </c>
    </row>
    <row r="23" spans="2:6" x14ac:dyDescent="0.25">
      <c r="B23" t="s">
        <v>73</v>
      </c>
      <c r="C23" s="1">
        <v>60</v>
      </c>
      <c r="D23">
        <v>3</v>
      </c>
      <c r="E23" s="35">
        <f t="shared" si="1"/>
        <v>180</v>
      </c>
    </row>
    <row r="24" spans="2:6" x14ac:dyDescent="0.25">
      <c r="B24" t="s">
        <v>76</v>
      </c>
      <c r="C24" s="1">
        <v>67</v>
      </c>
      <c r="D24">
        <v>2</v>
      </c>
      <c r="E24" s="35">
        <f t="shared" si="1"/>
        <v>134</v>
      </c>
    </row>
    <row r="25" spans="2:6" x14ac:dyDescent="0.25">
      <c r="B25" t="s">
        <v>76</v>
      </c>
      <c r="C25" s="1">
        <v>67</v>
      </c>
      <c r="D25">
        <v>2</v>
      </c>
      <c r="E25" s="35">
        <f t="shared" si="1"/>
        <v>134</v>
      </c>
    </row>
    <row r="26" spans="2:6" x14ac:dyDescent="0.25">
      <c r="B26" t="s">
        <v>76</v>
      </c>
      <c r="C26" s="1">
        <v>67</v>
      </c>
      <c r="D26">
        <v>2</v>
      </c>
      <c r="E26" s="35">
        <f t="shared" si="1"/>
        <v>134</v>
      </c>
    </row>
    <row r="29" spans="2:6" x14ac:dyDescent="0.25">
      <c r="E29" s="35">
        <f>SUM(E21:E28)</f>
        <v>1182</v>
      </c>
      <c r="F29" s="35">
        <f>E29/36</f>
        <v>32.833333333333336</v>
      </c>
    </row>
    <row r="30" spans="2:6" x14ac:dyDescent="0.25">
      <c r="E30" s="35">
        <f>F30*36</f>
        <v>1800</v>
      </c>
      <c r="F30" s="36">
        <v>50</v>
      </c>
    </row>
    <row r="32" spans="2:6" x14ac:dyDescent="0.25">
      <c r="E32" s="36">
        <f>E30-E29</f>
        <v>618</v>
      </c>
    </row>
  </sheetData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323F11D3B0E5094799A2A6DA82344852" ma:contentTypeVersion="14" ma:contentTypeDescription="Creare un nuovo documento." ma:contentTypeScope="" ma:versionID="6733a5a907a9923217b9773bc86fbe7c">
  <xsd:schema xmlns:xsd="http://www.w3.org/2001/XMLSchema" xmlns:xs="http://www.w3.org/2001/XMLSchema" xmlns:p="http://schemas.microsoft.com/office/2006/metadata/properties" xmlns:ns2="7477e0c0-f1d7-4cbb-a708-fa786e8610c9" xmlns:ns3="d533130b-f89b-4585-af2d-6c160e61dab3" targetNamespace="http://schemas.microsoft.com/office/2006/metadata/properties" ma:root="true" ma:fieldsID="abb4901c61f09e3ea2ad7edf5e2f490d" ns2:_="" ns3:_="">
    <xsd:import namespace="7477e0c0-f1d7-4cbb-a708-fa786e8610c9"/>
    <xsd:import namespace="d533130b-f89b-4585-af2d-6c160e61dab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SearchProperties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477e0c0-f1d7-4cbb-a708-fa786e8610c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CR" ma:index="1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3" nillable="true" ma:displayName="MediaServiceDateTaken" ma:hidden="true" ma:internalName="MediaServiceDateTaken" ma:readOnly="true">
      <xsd:simpleType>
        <xsd:restriction base="dms:Text"/>
      </xsd:simpleType>
    </xsd:element>
    <xsd:element name="lcf76f155ced4ddcb4097134ff3c332f" ma:index="17" nillable="true" ma:taxonomy="true" ma:internalName="lcf76f155ced4ddcb4097134ff3c332f" ma:taxonomyFieldName="MediaServiceImageTags" ma:displayName="Tag immagine" ma:readOnly="false" ma:fieldId="{5cf76f15-5ced-4ddc-b409-7134ff3c332f}" ma:taxonomyMulti="true" ma:sspId="0ff7a4f1-98ed-4b80-a114-1d0efd1d5627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SearchProperties" ma:index="19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533130b-f89b-4585-af2d-6c160e61dab3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Condiviso con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5" nillable="true" ma:displayName="Condiviso con dettagli" ma:internalName="SharedWithDetails" ma:readOnly="true">
      <xsd:simpleType>
        <xsd:restriction base="dms:Note">
          <xsd:maxLength value="255"/>
        </xsd:restriction>
      </xsd:simpleType>
    </xsd:element>
    <xsd:element name="TaxCatchAll" ma:index="18" nillable="true" ma:displayName="Taxonomy Catch All Column" ma:hidden="true" ma:list="{274ce528-fc34-42b7-96d3-90e4b3e1e87c}" ma:internalName="TaxCatchAll" ma:showField="CatchAllData" ma:web="d533130b-f89b-4585-af2d-6c160e61dab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i contenuto"/>
        <xsd:element ref="dc:title" minOccurs="0" maxOccurs="1" ma:index="4" ma:displayName="Tito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d533130b-f89b-4585-af2d-6c160e61dab3" xsi:nil="true"/>
    <lcf76f155ced4ddcb4097134ff3c332f xmlns="7477e0c0-f1d7-4cbb-a708-fa786e8610c9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F0F0D666-DD30-4401-A46C-7EA61E8C322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477e0c0-f1d7-4cbb-a708-fa786e8610c9"/>
    <ds:schemaRef ds:uri="d533130b-f89b-4585-af2d-6c160e61dab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6A4E26F3-F085-4438-B757-21926BF1EF10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3B76EC6F-9C9C-4A2B-9EC7-C8AFE4F0AEFB}">
  <ds:schemaRefs>
    <ds:schemaRef ds:uri="http://schemas.openxmlformats.org/package/2006/metadata/core-properties"/>
    <ds:schemaRef ds:uri="http://purl.org/dc/elements/1.1/"/>
    <ds:schemaRef ds:uri="http://schemas.microsoft.com/office/2006/metadata/properties"/>
    <ds:schemaRef ds:uri="7477e0c0-f1d7-4cbb-a708-fa786e8610c9"/>
    <ds:schemaRef ds:uri="http://purl.org/dc/terms/"/>
    <ds:schemaRef ds:uri="d533130b-f89b-4585-af2d-6c160e61dab3"/>
    <ds:schemaRef ds:uri="http://schemas.microsoft.com/office/2006/documentManagement/types"/>
    <ds:schemaRef ds:uri="http://schemas.microsoft.com/office/infopath/2007/PartnerControls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9</vt:i4>
      </vt:variant>
    </vt:vector>
  </HeadingPairs>
  <TitlesOfParts>
    <vt:vector size="9" baseType="lpstr">
      <vt:lpstr>CONGUAGLI</vt:lpstr>
      <vt:lpstr>Dati 18-09-2023 22.40.08</vt:lpstr>
      <vt:lpstr>Dati 18-09-2023 22.37.24</vt:lpstr>
      <vt:lpstr>scaduti</vt:lpstr>
      <vt:lpstr>conti</vt:lpstr>
      <vt:lpstr>CONGUAGLI  old al 17-6</vt:lpstr>
      <vt:lpstr>noleggi</vt:lpstr>
      <vt:lpstr>CONGUAGLI old o chiusi</vt:lpstr>
      <vt:lpstr>CONTI A4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/>
  <cp:lastModifiedBy/>
  <dcterms:created xsi:type="dcterms:W3CDTF">2015-06-05T18:19:34Z</dcterms:created>
  <dcterms:modified xsi:type="dcterms:W3CDTF">2023-09-18T20:40:35Z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0x010100323F11D3B0E5094799A2A6DA82344852</vt:lpwstr>
  </property>
  <property fmtid="{D5CDD505-2E9C-101B-9397-08002B2CF9AE}" pid="3" name="AuthorIds_UIVersion_43520">
    <vt:lpwstr>8</vt:lpwstr>
  </property>
  <property fmtid="{D5CDD505-2E9C-101B-9397-08002B2CF9AE}" pid="4" name="AuthorIds_UIVersion_47616">
    <vt:lpwstr>8</vt:lpwstr>
  </property>
  <property fmtid="{D5CDD505-2E9C-101B-9397-08002B2CF9AE}" pid="5" name="ComplianceAssetId">
    <vt:lpwstr/>
  </property>
  <property fmtid="{D5CDD505-2E9C-101B-9397-08002B2CF9AE}" pid="6" name="AuthorIds_UIVersion_48128">
    <vt:lpwstr>8</vt:lpwstr>
  </property>
  <property fmtid="{D5CDD505-2E9C-101B-9397-08002B2CF9AE}" pid="7" name="AuthorIds_UIVersion_46592">
    <vt:lpwstr>8</vt:lpwstr>
  </property>
  <property fmtid="{D5CDD505-2E9C-101B-9397-08002B2CF9AE}" pid="8" name="MediaServiceImageTags">
    <vt:lpwstr/>
  </property>
</Properties>
</file>