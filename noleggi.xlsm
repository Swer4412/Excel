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07" codeName="{E757BCB4-07E6-AE0B-56E0-F0EEF7A6E26C}"/>
  <workbookPr filterPrivacy="1" codeName="Questa_cartella_di_lavoro"/>
  <xr:revisionPtr revIDLastSave="0" documentId="13_ncr:1_{7D863D98-9429-4EE2-B344-9E5E54760185}" xr6:coauthVersionLast="47" xr6:coauthVersionMax="47" xr10:uidLastSave="{00000000-0000-0000-0000-000000000000}"/>
  <bookViews>
    <workbookView xWindow="-105" yWindow="0" windowWidth="14610" windowHeight="15585" tabRatio="847" activeTab="1" xr2:uid="{00000000-000D-0000-FFFF-FFFF00000000}"/>
  </bookViews>
  <sheets>
    <sheet name="CONGUAGLI" sheetId="6" r:id="rId1"/>
    <sheet name="Dati 20-09-2023 12.42.51" sheetId="83" r:id="rId2"/>
    <sheet name="Dati 20-09-2023 12.41.05" sheetId="82" r:id="rId3"/>
    <sheet name="Dati 20-09-2023 12.39.47" sheetId="81" r:id="rId4"/>
    <sheet name="Dati 20-09-2023 12.38.39" sheetId="80" r:id="rId5"/>
    <sheet name="Dati 20-09-2023 12.32.44" sheetId="79" r:id="rId6"/>
    <sheet name="Dati 19-09-2023 22.58.39" sheetId="78" r:id="rId7"/>
    <sheet name="Dati 19-09-2023 22.58.29" sheetId="77" r:id="rId8"/>
    <sheet name="Dati 19-09-2023 22.56.38" sheetId="76" r:id="rId9"/>
    <sheet name="Dati 19-09-2023 22.55.58" sheetId="75" r:id="rId10"/>
    <sheet name="Dati 19-09-2023 22.40.42" sheetId="74" r:id="rId11"/>
    <sheet name="Dati 19-09-2023 22.40.18" sheetId="73" r:id="rId12"/>
    <sheet name="Dati 19-09-2023 22.39.11" sheetId="72" r:id="rId13"/>
    <sheet name="Dati 19-09-2023 22.37.28" sheetId="71" r:id="rId14"/>
    <sheet name="Dati 19-09-2023 22.36.56" sheetId="70" r:id="rId15"/>
    <sheet name="Dati 19-09-2023 22.35.34" sheetId="69" r:id="rId16"/>
    <sheet name="Dati 19-09-2023 22.34.19" sheetId="68" r:id="rId17"/>
    <sheet name="Dati 19-09-2023 22.32.40" sheetId="67" r:id="rId18"/>
    <sheet name="Dati 19-09-2023 22.31.46" sheetId="66" r:id="rId19"/>
    <sheet name="Dati 19-09-2023 22.31.00" sheetId="65" r:id="rId20"/>
    <sheet name="Dati 19-09-2023 22.23.16" sheetId="64" r:id="rId21"/>
    <sheet name="scaduti" sheetId="8" r:id="rId22"/>
    <sheet name="conti" sheetId="7" state="hidden" r:id="rId23"/>
    <sheet name="CONGUAGLI  old al 17-6" sheetId="5" state="hidden" r:id="rId24"/>
    <sheet name="noleggi" sheetId="1" state="hidden" r:id="rId25"/>
    <sheet name="CONGUAGLI old o chiusi" sheetId="2" state="hidden" r:id="rId26"/>
    <sheet name="CONTI A4" sheetId="3" state="hidden" r:id="rId27"/>
  </sheets>
  <functionGroups builtInGroupCount="19"/>
  <definedNames>
    <definedName name="_xlnm._FilterDatabase" localSheetId="0" hidden="1">CONGUAGLI!$A$1:$AS$54</definedName>
    <definedName name="_xlnm._FilterDatabase" localSheetId="23" hidden="1">'CONGUAGLI  old al 17-6'!$B$1:$AE$1</definedName>
    <definedName name="_xlnm._FilterDatabase" localSheetId="24" hidden="1">noleggi!$A$1:$N$38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60" i="6" l="1"/>
  <c r="Z60" i="6"/>
  <c r="Y60" i="6"/>
  <c r="J60" i="6"/>
  <c r="I60" i="6"/>
  <c r="AJ56" i="6"/>
  <c r="AA56" i="6"/>
  <c r="Z56" i="6"/>
  <c r="Y56" i="6"/>
  <c r="I56" i="6"/>
  <c r="J56" i="6" s="1"/>
  <c r="AJ55" i="6"/>
  <c r="AA55" i="6"/>
  <c r="AC55" i="6" s="1"/>
  <c r="AE55" i="6" s="1"/>
  <c r="AG55" i="6" s="1"/>
  <c r="AI55" i="6" s="1"/>
  <c r="Z55" i="6"/>
  <c r="Y55" i="6"/>
  <c r="I55" i="6"/>
  <c r="J55" i="6" s="1"/>
  <c r="AK54" i="6"/>
  <c r="AJ54" i="6"/>
  <c r="AA54" i="6"/>
  <c r="Z54" i="6"/>
  <c r="Y54" i="6"/>
  <c r="I54" i="6"/>
  <c r="J54" i="6" s="1"/>
  <c r="AK53" i="6"/>
  <c r="AJ53" i="6"/>
  <c r="AA53" i="6"/>
  <c r="Z53" i="6"/>
  <c r="Y53" i="6"/>
  <c r="I53" i="6"/>
  <c r="J53" i="6" s="1"/>
  <c r="AJ52" i="6"/>
  <c r="AA52" i="6"/>
  <c r="Z52" i="6"/>
  <c r="Y52" i="6"/>
  <c r="I52" i="6"/>
  <c r="J52" i="6" s="1"/>
  <c r="AJ51" i="6"/>
  <c r="AA51" i="6"/>
  <c r="Z51" i="6"/>
  <c r="AB51" i="6" s="1"/>
  <c r="AD51" i="6" s="1"/>
  <c r="AF51" i="6" s="1"/>
  <c r="AH51" i="6" s="1"/>
  <c r="Y51" i="6"/>
  <c r="I51" i="6"/>
  <c r="J51" i="6" s="1"/>
  <c r="AK50" i="6"/>
  <c r="AJ50" i="6"/>
  <c r="AA50" i="6"/>
  <c r="Z50" i="6"/>
  <c r="Y50" i="6"/>
  <c r="I50" i="6"/>
  <c r="J50" i="6" s="1"/>
  <c r="AK49" i="6"/>
  <c r="AJ49" i="6"/>
  <c r="AA49" i="6"/>
  <c r="AC49" i="6" s="1"/>
  <c r="AE49" i="6" s="1"/>
  <c r="AG49" i="6" s="1"/>
  <c r="AI49" i="6" s="1"/>
  <c r="Z49" i="6"/>
  <c r="Y49" i="6"/>
  <c r="I49" i="6"/>
  <c r="J49" i="6" s="1"/>
  <c r="AK48" i="6"/>
  <c r="AJ48" i="6"/>
  <c r="AA48" i="6"/>
  <c r="Z48" i="6"/>
  <c r="Y48" i="6"/>
  <c r="I48" i="6"/>
  <c r="J48" i="6" s="1"/>
  <c r="AJ47" i="6"/>
  <c r="AA47" i="6"/>
  <c r="Z47" i="6"/>
  <c r="Y47" i="6"/>
  <c r="I47" i="6"/>
  <c r="J47" i="6" s="1"/>
  <c r="AK46" i="6"/>
  <c r="AJ46" i="6"/>
  <c r="AA46" i="6"/>
  <c r="Z46" i="6"/>
  <c r="Y46" i="6"/>
  <c r="I46" i="6"/>
  <c r="J46" i="6" s="1"/>
  <c r="AK45" i="6"/>
  <c r="AJ45" i="6"/>
  <c r="AA45" i="6"/>
  <c r="Z45" i="6"/>
  <c r="AB45" i="6" s="1"/>
  <c r="AD45" i="6" s="1"/>
  <c r="AF45" i="6" s="1"/>
  <c r="AH45" i="6" s="1"/>
  <c r="Y45" i="6"/>
  <c r="I45" i="6"/>
  <c r="J45" i="6" s="1"/>
  <c r="AK44" i="6"/>
  <c r="AJ44" i="6"/>
  <c r="AA44" i="6"/>
  <c r="Z44" i="6"/>
  <c r="Y44" i="6"/>
  <c r="I44" i="6"/>
  <c r="J44" i="6" s="1"/>
  <c r="AK43" i="6"/>
  <c r="AJ43" i="6"/>
  <c r="AA43" i="6"/>
  <c r="Z43" i="6"/>
  <c r="Y43" i="6"/>
  <c r="I43" i="6"/>
  <c r="J43" i="6" s="1"/>
  <c r="AK42" i="6"/>
  <c r="AJ42" i="6"/>
  <c r="AA42" i="6"/>
  <c r="AC42" i="6" s="1"/>
  <c r="AE42" i="6" s="1"/>
  <c r="AG42" i="6" s="1"/>
  <c r="AI42" i="6" s="1"/>
  <c r="Z42" i="6"/>
  <c r="Y42" i="6"/>
  <c r="J42" i="6"/>
  <c r="I42" i="6"/>
  <c r="AK41" i="6"/>
  <c r="AJ41" i="6"/>
  <c r="AB41" i="6"/>
  <c r="AD41" i="6" s="1"/>
  <c r="AF41" i="6" s="1"/>
  <c r="AH41" i="6" s="1"/>
  <c r="AA41" i="6"/>
  <c r="Z41" i="6"/>
  <c r="Y41" i="6"/>
  <c r="I41" i="6"/>
  <c r="J41" i="6" s="1"/>
  <c r="AK40" i="6"/>
  <c r="AJ40" i="6"/>
  <c r="AA40" i="6"/>
  <c r="Z40" i="6"/>
  <c r="AB40" i="6" s="1"/>
  <c r="AD40" i="6" s="1"/>
  <c r="AF40" i="6" s="1"/>
  <c r="AH40" i="6" s="1"/>
  <c r="Y40" i="6"/>
  <c r="I40" i="6"/>
  <c r="J40" i="6" s="1"/>
  <c r="AK39" i="6"/>
  <c r="AJ39" i="6"/>
  <c r="AA39" i="6"/>
  <c r="Z39" i="6"/>
  <c r="Y39" i="6"/>
  <c r="AK38" i="6"/>
  <c r="AJ38" i="6"/>
  <c r="AA38" i="6"/>
  <c r="Z38" i="6"/>
  <c r="AB38" i="6" s="1"/>
  <c r="AD38" i="6" s="1"/>
  <c r="AF38" i="6" s="1"/>
  <c r="AH38" i="6" s="1"/>
  <c r="Y38" i="6"/>
  <c r="I38" i="6"/>
  <c r="J38" i="6" s="1"/>
  <c r="AK37" i="6"/>
  <c r="AJ37" i="6"/>
  <c r="AA37" i="6"/>
  <c r="Z37" i="6"/>
  <c r="Y37" i="6"/>
  <c r="Q37" i="6"/>
  <c r="O37" i="6"/>
  <c r="I37" i="6"/>
  <c r="AK36" i="6"/>
  <c r="AJ36" i="6"/>
  <c r="AA36" i="6"/>
  <c r="Z36" i="6"/>
  <c r="Y36" i="6"/>
  <c r="AC36" i="6" s="1"/>
  <c r="AE36" i="6" s="1"/>
  <c r="AG36" i="6" s="1"/>
  <c r="AI36" i="6" s="1"/>
  <c r="I36" i="6"/>
  <c r="J36" i="6" s="1"/>
  <c r="AK35" i="6"/>
  <c r="AJ35" i="6"/>
  <c r="AA35" i="6"/>
  <c r="Z35" i="6"/>
  <c r="Y35" i="6"/>
  <c r="I35" i="6"/>
  <c r="J35" i="6" s="1"/>
  <c r="AK34" i="6"/>
  <c r="AJ34" i="6"/>
  <c r="AA34" i="6"/>
  <c r="Z34" i="6"/>
  <c r="Y34" i="6"/>
  <c r="I34" i="6"/>
  <c r="J34" i="6" s="1"/>
  <c r="AK33" i="6"/>
  <c r="AJ33" i="6"/>
  <c r="AA33" i="6"/>
  <c r="Z33" i="6"/>
  <c r="Y33" i="6"/>
  <c r="I33" i="6"/>
  <c r="J33" i="6" s="1"/>
  <c r="AK32" i="6"/>
  <c r="AJ32" i="6"/>
  <c r="AA32" i="6"/>
  <c r="Z32" i="6"/>
  <c r="Y32" i="6"/>
  <c r="I32" i="6"/>
  <c r="J32" i="6" s="1"/>
  <c r="AK31" i="6"/>
  <c r="AJ31" i="6"/>
  <c r="AA31" i="6"/>
  <c r="Z31" i="6"/>
  <c r="Y31" i="6"/>
  <c r="I31" i="6"/>
  <c r="J31" i="6" s="1"/>
  <c r="AK30" i="6"/>
  <c r="AJ30" i="6"/>
  <c r="AA30" i="6"/>
  <c r="Z30" i="6"/>
  <c r="Y30" i="6"/>
  <c r="I30" i="6"/>
  <c r="J30" i="6" s="1"/>
  <c r="AK29" i="6"/>
  <c r="AJ29" i="6"/>
  <c r="AA29" i="6"/>
  <c r="Z29" i="6"/>
  <c r="Y29" i="6"/>
  <c r="I29" i="6"/>
  <c r="J29" i="6" s="1"/>
  <c r="AK28" i="6"/>
  <c r="AJ28" i="6"/>
  <c r="AA28" i="6"/>
  <c r="Z28" i="6"/>
  <c r="Y28" i="6"/>
  <c r="I28" i="6"/>
  <c r="J28" i="6" s="1"/>
  <c r="AK27" i="6"/>
  <c r="AJ27" i="6"/>
  <c r="AA27" i="6"/>
  <c r="Z27" i="6"/>
  <c r="Y27" i="6"/>
  <c r="I27" i="6"/>
  <c r="J27" i="6" s="1"/>
  <c r="AK26" i="6"/>
  <c r="AJ26" i="6"/>
  <c r="AA26" i="6"/>
  <c r="Z26" i="6"/>
  <c r="Y26" i="6"/>
  <c r="I26" i="6"/>
  <c r="J26" i="6" s="1"/>
  <c r="AK25" i="6"/>
  <c r="AJ25" i="6"/>
  <c r="AA25" i="6"/>
  <c r="Z25" i="6"/>
  <c r="Y25" i="6"/>
  <c r="I25" i="6"/>
  <c r="J25" i="6" s="1"/>
  <c r="AJ24" i="6"/>
  <c r="AA24" i="6"/>
  <c r="AC24" i="6" s="1"/>
  <c r="AE24" i="6" s="1"/>
  <c r="AG24" i="6" s="1"/>
  <c r="AI24" i="6" s="1"/>
  <c r="Z24" i="6"/>
  <c r="Y24" i="6"/>
  <c r="I24" i="6"/>
  <c r="J24" i="6" s="1"/>
  <c r="AK23" i="6"/>
  <c r="AJ23" i="6"/>
  <c r="AA23" i="6"/>
  <c r="Z23" i="6"/>
  <c r="Y23" i="6"/>
  <c r="I23" i="6"/>
  <c r="J23" i="6" s="1"/>
  <c r="AK22" i="6"/>
  <c r="AJ22" i="6"/>
  <c r="AA22" i="6"/>
  <c r="Z22" i="6"/>
  <c r="Y22" i="6"/>
  <c r="I22" i="6"/>
  <c r="J22" i="6" s="1"/>
  <c r="AK21" i="6"/>
  <c r="AJ21" i="6"/>
  <c r="AA21" i="6"/>
  <c r="Z21" i="6"/>
  <c r="Y21" i="6"/>
  <c r="I21" i="6"/>
  <c r="J21" i="6" s="1"/>
  <c r="AK20" i="6"/>
  <c r="AJ20" i="6"/>
  <c r="AA20" i="6"/>
  <c r="Z20" i="6"/>
  <c r="Y20" i="6"/>
  <c r="I20" i="6"/>
  <c r="J20" i="6" s="1"/>
  <c r="AK19" i="6"/>
  <c r="AJ19" i="6"/>
  <c r="AA19" i="6"/>
  <c r="Z19" i="6"/>
  <c r="Y19" i="6"/>
  <c r="AK18" i="6"/>
  <c r="AJ18" i="6"/>
  <c r="AA18" i="6"/>
  <c r="Z18" i="6"/>
  <c r="Y18" i="6"/>
  <c r="I18" i="6"/>
  <c r="J18" i="6" s="1"/>
  <c r="AJ17" i="6"/>
  <c r="AA17" i="6"/>
  <c r="Z17" i="6"/>
  <c r="Y17" i="6"/>
  <c r="AB17" i="6" s="1"/>
  <c r="AD17" i="6" s="1"/>
  <c r="AF17" i="6" s="1"/>
  <c r="AH17" i="6" s="1"/>
  <c r="I17" i="6"/>
  <c r="J17" i="6" s="1"/>
  <c r="AK16" i="6"/>
  <c r="AJ16" i="6"/>
  <c r="AA16" i="6"/>
  <c r="Z16" i="6"/>
  <c r="Y16" i="6"/>
  <c r="I16" i="6"/>
  <c r="J16" i="6" s="1"/>
  <c r="AK15" i="6"/>
  <c r="AJ15" i="6"/>
  <c r="AA15" i="6"/>
  <c r="Z15" i="6"/>
  <c r="Y15" i="6"/>
  <c r="I15" i="6"/>
  <c r="J15" i="6" s="1"/>
  <c r="AK14" i="6"/>
  <c r="AJ14" i="6"/>
  <c r="AA14" i="6"/>
  <c r="Z14" i="6"/>
  <c r="Y14" i="6"/>
  <c r="AA13" i="6"/>
  <c r="Z13" i="6"/>
  <c r="AJ13" i="6" s="1"/>
  <c r="Y13" i="6"/>
  <c r="I13" i="6"/>
  <c r="J13" i="6" s="1"/>
  <c r="AK12" i="6"/>
  <c r="AJ12" i="6"/>
  <c r="AA12" i="6"/>
  <c r="AC12" i="6" s="1"/>
  <c r="AE12" i="6" s="1"/>
  <c r="AG12" i="6" s="1"/>
  <c r="AI12" i="6" s="1"/>
  <c r="Z12" i="6"/>
  <c r="Y12" i="6"/>
  <c r="AK11" i="6"/>
  <c r="AJ11" i="6"/>
  <c r="AA11" i="6"/>
  <c r="Z11" i="6"/>
  <c r="Y11" i="6"/>
  <c r="I11" i="6"/>
  <c r="J11" i="6" s="1"/>
  <c r="AK10" i="6"/>
  <c r="AJ10" i="6"/>
  <c r="AB10" i="6"/>
  <c r="AD10" i="6" s="1"/>
  <c r="AF10" i="6" s="1"/>
  <c r="AH10" i="6" s="1"/>
  <c r="AA10" i="6"/>
  <c r="AC10" i="6" s="1"/>
  <c r="AE10" i="6" s="1"/>
  <c r="AG10" i="6" s="1"/>
  <c r="AI10" i="6" s="1"/>
  <c r="Z10" i="6"/>
  <c r="Y10" i="6"/>
  <c r="I10" i="6"/>
  <c r="J10" i="6" s="1"/>
  <c r="AK9" i="6"/>
  <c r="AJ9" i="6"/>
  <c r="AA9" i="6"/>
  <c r="Z9" i="6"/>
  <c r="Y9" i="6"/>
  <c r="I9" i="6"/>
  <c r="J9" i="6" s="1"/>
  <c r="AJ8" i="6"/>
  <c r="AA8" i="6"/>
  <c r="Z8" i="6"/>
  <c r="AB8" i="6" s="1"/>
  <c r="AD8" i="6" s="1"/>
  <c r="AF8" i="6" s="1"/>
  <c r="AH8" i="6" s="1"/>
  <c r="Y8" i="6"/>
  <c r="I8" i="6"/>
  <c r="J8" i="6" s="1"/>
  <c r="AJ7" i="6"/>
  <c r="AA7" i="6"/>
  <c r="Z7" i="6"/>
  <c r="Y7" i="6"/>
  <c r="I7" i="6"/>
  <c r="J7" i="6" s="1"/>
  <c r="AJ6" i="6"/>
  <c r="AA6" i="6"/>
  <c r="Z6" i="6"/>
  <c r="Y6" i="6"/>
  <c r="I6" i="6"/>
  <c r="J6" i="6" s="1"/>
  <c r="AK5" i="6"/>
  <c r="AJ5" i="6"/>
  <c r="AA5" i="6"/>
  <c r="Z5" i="6"/>
  <c r="Y5" i="6"/>
  <c r="I5" i="6"/>
  <c r="J5" i="6" s="1"/>
  <c r="AK4" i="6"/>
  <c r="AJ4" i="6"/>
  <c r="AA4" i="6"/>
  <c r="Z4" i="6"/>
  <c r="Y4" i="6"/>
  <c r="I4" i="6"/>
  <c r="J4" i="6" s="1"/>
  <c r="AK3" i="6"/>
  <c r="AJ3" i="6"/>
  <c r="AA3" i="6"/>
  <c r="Z3" i="6"/>
  <c r="Y3" i="6"/>
  <c r="I3" i="6"/>
  <c r="J3" i="6" s="1"/>
  <c r="AK2" i="6"/>
  <c r="AJ2" i="6"/>
  <c r="AA2" i="6"/>
  <c r="Z2" i="6"/>
  <c r="Y2" i="6"/>
  <c r="I2" i="6"/>
  <c r="J2" i="6" s="1"/>
  <c r="C1" i="6"/>
  <c r="M8" i="7"/>
  <c r="Q8" i="7"/>
  <c r="S8" i="7" s="1"/>
  <c r="V8" i="7" s="1"/>
  <c r="Q9" i="7"/>
  <c r="S9" i="7" s="1"/>
  <c r="V9" i="7" s="1"/>
  <c r="AA10" i="8"/>
  <c r="Z10" i="8"/>
  <c r="AB10" i="8" s="1"/>
  <c r="AD10" i="8" s="1"/>
  <c r="AF10" i="8" s="1"/>
  <c r="AH10" i="8" s="1"/>
  <c r="Y10" i="8"/>
  <c r="I10" i="8"/>
  <c r="J10" i="8" s="1"/>
  <c r="X7" i="8"/>
  <c r="W7" i="8"/>
  <c r="AJ7" i="8" s="1"/>
  <c r="V7" i="8"/>
  <c r="AI7" i="8" s="1"/>
  <c r="H7" i="8"/>
  <c r="I7" i="8" s="1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Z1" i="8"/>
  <c r="Y1" i="8"/>
  <c r="AA1" i="8" s="1"/>
  <c r="AC1" i="8" s="1"/>
  <c r="AE1" i="8" s="1"/>
  <c r="AG1" i="8" s="1"/>
  <c r="X1" i="8"/>
  <c r="H1" i="8"/>
  <c r="I1" i="8" s="1"/>
  <c r="AC47" i="6" l="1"/>
  <c r="AE47" i="6" s="1"/>
  <c r="AG47" i="6" s="1"/>
  <c r="AI47" i="6" s="1"/>
  <c r="AC7" i="6"/>
  <c r="AE7" i="6" s="1"/>
  <c r="AG7" i="6" s="1"/>
  <c r="AI7" i="6" s="1"/>
  <c r="AC22" i="6"/>
  <c r="AE22" i="6" s="1"/>
  <c r="AG22" i="6" s="1"/>
  <c r="AI22" i="6" s="1"/>
  <c r="AC26" i="6"/>
  <c r="AE26" i="6" s="1"/>
  <c r="AG26" i="6" s="1"/>
  <c r="AI26" i="6" s="1"/>
  <c r="AC30" i="6"/>
  <c r="AE30" i="6" s="1"/>
  <c r="AG30" i="6" s="1"/>
  <c r="AI30" i="6" s="1"/>
  <c r="AB54" i="6"/>
  <c r="AD54" i="6" s="1"/>
  <c r="AF54" i="6" s="1"/>
  <c r="AH54" i="6" s="1"/>
  <c r="AC38" i="6"/>
  <c r="AE38" i="6" s="1"/>
  <c r="AG38" i="6" s="1"/>
  <c r="AI38" i="6" s="1"/>
  <c r="AB25" i="6"/>
  <c r="AD25" i="6" s="1"/>
  <c r="AF25" i="6" s="1"/>
  <c r="AH25" i="6" s="1"/>
  <c r="AB29" i="6"/>
  <c r="AD29" i="6" s="1"/>
  <c r="AF29" i="6" s="1"/>
  <c r="AH29" i="6" s="1"/>
  <c r="AC53" i="6"/>
  <c r="AE53" i="6" s="1"/>
  <c r="AG53" i="6" s="1"/>
  <c r="AI53" i="6" s="1"/>
  <c r="AB23" i="6"/>
  <c r="AD23" i="6" s="1"/>
  <c r="AF23" i="6" s="1"/>
  <c r="AH23" i="6" s="1"/>
  <c r="AB27" i="6"/>
  <c r="AD27" i="6" s="1"/>
  <c r="AF27" i="6" s="1"/>
  <c r="AH27" i="6" s="1"/>
  <c r="AB31" i="6"/>
  <c r="AD31" i="6" s="1"/>
  <c r="AF31" i="6" s="1"/>
  <c r="AH31" i="6" s="1"/>
  <c r="AB33" i="6"/>
  <c r="AD33" i="6" s="1"/>
  <c r="AF33" i="6" s="1"/>
  <c r="AH33" i="6" s="1"/>
  <c r="AB2" i="6"/>
  <c r="AD2" i="6" s="1"/>
  <c r="AF2" i="6" s="1"/>
  <c r="AH2" i="6" s="1"/>
  <c r="AC23" i="6"/>
  <c r="AE23" i="6" s="1"/>
  <c r="AG23" i="6" s="1"/>
  <c r="AI23" i="6" s="1"/>
  <c r="AC25" i="6"/>
  <c r="AE25" i="6" s="1"/>
  <c r="AG25" i="6" s="1"/>
  <c r="AI25" i="6" s="1"/>
  <c r="AC31" i="6"/>
  <c r="AE31" i="6" s="1"/>
  <c r="AG31" i="6" s="1"/>
  <c r="AI31" i="6" s="1"/>
  <c r="AC33" i="6"/>
  <c r="AE33" i="6" s="1"/>
  <c r="AG33" i="6" s="1"/>
  <c r="AI33" i="6" s="1"/>
  <c r="AC2" i="6"/>
  <c r="AE2" i="6" s="1"/>
  <c r="AG2" i="6" s="1"/>
  <c r="AI2" i="6" s="1"/>
  <c r="AC15" i="6"/>
  <c r="AE15" i="6" s="1"/>
  <c r="AG15" i="6" s="1"/>
  <c r="AI15" i="6" s="1"/>
  <c r="AC17" i="6"/>
  <c r="AE17" i="6" s="1"/>
  <c r="AG17" i="6" s="1"/>
  <c r="AI17" i="6" s="1"/>
  <c r="AB39" i="6"/>
  <c r="AD39" i="6" s="1"/>
  <c r="AF39" i="6" s="1"/>
  <c r="AH39" i="6" s="1"/>
  <c r="AB49" i="6"/>
  <c r="AD49" i="6" s="1"/>
  <c r="AF49" i="6" s="1"/>
  <c r="AH49" i="6" s="1"/>
  <c r="AB7" i="6"/>
  <c r="AD7" i="6" s="1"/>
  <c r="AF7" i="6" s="1"/>
  <c r="AH7" i="6" s="1"/>
  <c r="AB46" i="6"/>
  <c r="AD46" i="6" s="1"/>
  <c r="AF46" i="6" s="1"/>
  <c r="AH46" i="6" s="1"/>
  <c r="AB56" i="6"/>
  <c r="AD56" i="6" s="1"/>
  <c r="AF56" i="6" s="1"/>
  <c r="AH56" i="6" s="1"/>
  <c r="AB5" i="6"/>
  <c r="AD5" i="6" s="1"/>
  <c r="AF5" i="6" s="1"/>
  <c r="AH5" i="6" s="1"/>
  <c r="AC13" i="6"/>
  <c r="AE13" i="6" s="1"/>
  <c r="AG13" i="6" s="1"/>
  <c r="AI13" i="6" s="1"/>
  <c r="AC5" i="6"/>
  <c r="AE5" i="6" s="1"/>
  <c r="AG5" i="6" s="1"/>
  <c r="AI5" i="6" s="1"/>
  <c r="AC20" i="6"/>
  <c r="AE20" i="6" s="1"/>
  <c r="AG20" i="6" s="1"/>
  <c r="AI20" i="6" s="1"/>
  <c r="AB22" i="6"/>
  <c r="AD22" i="6" s="1"/>
  <c r="AF22" i="6" s="1"/>
  <c r="AH22" i="6" s="1"/>
  <c r="AC46" i="6"/>
  <c r="AE46" i="6" s="1"/>
  <c r="AG46" i="6" s="1"/>
  <c r="AI46" i="6" s="1"/>
  <c r="AC48" i="6"/>
  <c r="AE48" i="6" s="1"/>
  <c r="AG48" i="6" s="1"/>
  <c r="AI48" i="6" s="1"/>
  <c r="AC54" i="6"/>
  <c r="AE54" i="6" s="1"/>
  <c r="AG54" i="6" s="1"/>
  <c r="AI54" i="6" s="1"/>
  <c r="AB3" i="6"/>
  <c r="AD3" i="6" s="1"/>
  <c r="AF3" i="6" s="1"/>
  <c r="AH3" i="6" s="1"/>
  <c r="AB11" i="6"/>
  <c r="AD11" i="6" s="1"/>
  <c r="AF11" i="6" s="1"/>
  <c r="AH11" i="6" s="1"/>
  <c r="AB44" i="6"/>
  <c r="AD44" i="6" s="1"/>
  <c r="AF44" i="6" s="1"/>
  <c r="AH44" i="6" s="1"/>
  <c r="AC28" i="6"/>
  <c r="AE28" i="6" s="1"/>
  <c r="AG28" i="6" s="1"/>
  <c r="AI28" i="6" s="1"/>
  <c r="AC37" i="6"/>
  <c r="AE37" i="6" s="1"/>
  <c r="AG37" i="6" s="1"/>
  <c r="AI37" i="6" s="1"/>
  <c r="AC52" i="6"/>
  <c r="AE52" i="6" s="1"/>
  <c r="AG52" i="6" s="1"/>
  <c r="AI52" i="6" s="1"/>
  <c r="AC3" i="6"/>
  <c r="AE3" i="6" s="1"/>
  <c r="AG3" i="6" s="1"/>
  <c r="AI3" i="6" s="1"/>
  <c r="AC11" i="6"/>
  <c r="AE11" i="6" s="1"/>
  <c r="AG11" i="6" s="1"/>
  <c r="AI11" i="6" s="1"/>
  <c r="AC16" i="6"/>
  <c r="AE16" i="6" s="1"/>
  <c r="AG16" i="6" s="1"/>
  <c r="AI16" i="6" s="1"/>
  <c r="AB26" i="6"/>
  <c r="AD26" i="6" s="1"/>
  <c r="AF26" i="6" s="1"/>
  <c r="AH26" i="6" s="1"/>
  <c r="AB32" i="6"/>
  <c r="AD32" i="6" s="1"/>
  <c r="AF32" i="6" s="1"/>
  <c r="AH32" i="6" s="1"/>
  <c r="AC39" i="6"/>
  <c r="AE39" i="6" s="1"/>
  <c r="AG39" i="6" s="1"/>
  <c r="AI39" i="6" s="1"/>
  <c r="AC41" i="6"/>
  <c r="AE41" i="6" s="1"/>
  <c r="AG41" i="6" s="1"/>
  <c r="AI41" i="6" s="1"/>
  <c r="AB4" i="6"/>
  <c r="AD4" i="6" s="1"/>
  <c r="AF4" i="6" s="1"/>
  <c r="AH4" i="6" s="1"/>
  <c r="AB36" i="6"/>
  <c r="AD36" i="6" s="1"/>
  <c r="AF36" i="6" s="1"/>
  <c r="AH36" i="6" s="1"/>
  <c r="AC45" i="6"/>
  <c r="AE45" i="6" s="1"/>
  <c r="AG45" i="6" s="1"/>
  <c r="AI45" i="6" s="1"/>
  <c r="AB34" i="6"/>
  <c r="AD34" i="6" s="1"/>
  <c r="AF34" i="6" s="1"/>
  <c r="AH34" i="6" s="1"/>
  <c r="AB19" i="6"/>
  <c r="AD19" i="6" s="1"/>
  <c r="AF19" i="6" s="1"/>
  <c r="AH19" i="6" s="1"/>
  <c r="AC34" i="6"/>
  <c r="AE34" i="6" s="1"/>
  <c r="AG34" i="6" s="1"/>
  <c r="AI34" i="6" s="1"/>
  <c r="AC43" i="6"/>
  <c r="AE43" i="6" s="1"/>
  <c r="AG43" i="6" s="1"/>
  <c r="AI43" i="6" s="1"/>
  <c r="AC19" i="6"/>
  <c r="AE19" i="6" s="1"/>
  <c r="AG19" i="6" s="1"/>
  <c r="AI19" i="6" s="1"/>
  <c r="AB21" i="6"/>
  <c r="AD21" i="6" s="1"/>
  <c r="AF21" i="6" s="1"/>
  <c r="AH21" i="6" s="1"/>
  <c r="AB6" i="6"/>
  <c r="AD6" i="6" s="1"/>
  <c r="AF6" i="6" s="1"/>
  <c r="AH6" i="6" s="1"/>
  <c r="AC14" i="6"/>
  <c r="AE14" i="6" s="1"/>
  <c r="AG14" i="6" s="1"/>
  <c r="AI14" i="6" s="1"/>
  <c r="AC35" i="6"/>
  <c r="AE35" i="6" s="1"/>
  <c r="AG35" i="6" s="1"/>
  <c r="AI35" i="6" s="1"/>
  <c r="AB42" i="6"/>
  <c r="AD42" i="6" s="1"/>
  <c r="AF42" i="6" s="1"/>
  <c r="AH42" i="6" s="1"/>
  <c r="AB47" i="6"/>
  <c r="AD47" i="6" s="1"/>
  <c r="AF47" i="6" s="1"/>
  <c r="AH47" i="6" s="1"/>
  <c r="AC50" i="6"/>
  <c r="AE50" i="6" s="1"/>
  <c r="AG50" i="6" s="1"/>
  <c r="AI50" i="6" s="1"/>
  <c r="AB52" i="6"/>
  <c r="AD52" i="6" s="1"/>
  <c r="AF52" i="6" s="1"/>
  <c r="AH52" i="6" s="1"/>
  <c r="AC6" i="6"/>
  <c r="AE6" i="6" s="1"/>
  <c r="AG6" i="6" s="1"/>
  <c r="AI6" i="6" s="1"/>
  <c r="AC8" i="6"/>
  <c r="AE8" i="6" s="1"/>
  <c r="AG8" i="6" s="1"/>
  <c r="AI8" i="6" s="1"/>
  <c r="AB12" i="6"/>
  <c r="AD12" i="6" s="1"/>
  <c r="AF12" i="6" s="1"/>
  <c r="AH12" i="6" s="1"/>
  <c r="AB16" i="6"/>
  <c r="AD16" i="6" s="1"/>
  <c r="AF16" i="6" s="1"/>
  <c r="AH16" i="6" s="1"/>
  <c r="AB20" i="6"/>
  <c r="AD20" i="6" s="1"/>
  <c r="AF20" i="6" s="1"/>
  <c r="AH20" i="6" s="1"/>
  <c r="AB30" i="6"/>
  <c r="AD30" i="6" s="1"/>
  <c r="AF30" i="6" s="1"/>
  <c r="AH30" i="6" s="1"/>
  <c r="AC32" i="6"/>
  <c r="AE32" i="6" s="1"/>
  <c r="AG32" i="6" s="1"/>
  <c r="AI32" i="6" s="1"/>
  <c r="AB37" i="6"/>
  <c r="AD37" i="6" s="1"/>
  <c r="AF37" i="6" s="1"/>
  <c r="AH37" i="6" s="1"/>
  <c r="AC44" i="6"/>
  <c r="AE44" i="6" s="1"/>
  <c r="AG44" i="6" s="1"/>
  <c r="AI44" i="6" s="1"/>
  <c r="AB18" i="6"/>
  <c r="AD18" i="6" s="1"/>
  <c r="AF18" i="6" s="1"/>
  <c r="AH18" i="6" s="1"/>
  <c r="AB15" i="6"/>
  <c r="AD15" i="6" s="1"/>
  <c r="AF15" i="6" s="1"/>
  <c r="AH15" i="6" s="1"/>
  <c r="AC18" i="6"/>
  <c r="AE18" i="6" s="1"/>
  <c r="AG18" i="6" s="1"/>
  <c r="AI18" i="6" s="1"/>
  <c r="AC56" i="6"/>
  <c r="AE56" i="6" s="1"/>
  <c r="AG56" i="6" s="1"/>
  <c r="AI56" i="6" s="1"/>
  <c r="AB9" i="6"/>
  <c r="AD9" i="6" s="1"/>
  <c r="AF9" i="6" s="1"/>
  <c r="AH9" i="6" s="1"/>
  <c r="AC27" i="6"/>
  <c r="AE27" i="6" s="1"/>
  <c r="AG27" i="6" s="1"/>
  <c r="AI27" i="6" s="1"/>
  <c r="AC29" i="6"/>
  <c r="AE29" i="6" s="1"/>
  <c r="AG29" i="6" s="1"/>
  <c r="AI29" i="6" s="1"/>
  <c r="AC51" i="6"/>
  <c r="AE51" i="6" s="1"/>
  <c r="AG51" i="6" s="1"/>
  <c r="AI51" i="6" s="1"/>
  <c r="AB53" i="6"/>
  <c r="AD53" i="6" s="1"/>
  <c r="AF53" i="6" s="1"/>
  <c r="AH53" i="6" s="1"/>
  <c r="AC9" i="6"/>
  <c r="AE9" i="6" s="1"/>
  <c r="AG9" i="6" s="1"/>
  <c r="AI9" i="6" s="1"/>
  <c r="AB24" i="6"/>
  <c r="AD24" i="6" s="1"/>
  <c r="AF24" i="6" s="1"/>
  <c r="AH24" i="6" s="1"/>
  <c r="AB43" i="6"/>
  <c r="AD43" i="6" s="1"/>
  <c r="AF43" i="6" s="1"/>
  <c r="AH43" i="6" s="1"/>
  <c r="AB48" i="6"/>
  <c r="AD48" i="6" s="1"/>
  <c r="AF48" i="6" s="1"/>
  <c r="AH48" i="6" s="1"/>
  <c r="AC40" i="6"/>
  <c r="AE40" i="6" s="1"/>
  <c r="AG40" i="6" s="1"/>
  <c r="AI40" i="6" s="1"/>
  <c r="J37" i="6"/>
  <c r="AB55" i="6"/>
  <c r="AD55" i="6" s="1"/>
  <c r="AF55" i="6" s="1"/>
  <c r="AH55" i="6" s="1"/>
  <c r="AB60" i="6"/>
  <c r="AD60" i="6" s="1"/>
  <c r="AF60" i="6" s="1"/>
  <c r="AH60" i="6" s="1"/>
  <c r="AC4" i="6"/>
  <c r="AE4" i="6" s="1"/>
  <c r="AG4" i="6" s="1"/>
  <c r="AI4" i="6" s="1"/>
  <c r="AB14" i="6"/>
  <c r="AD14" i="6" s="1"/>
  <c r="AF14" i="6" s="1"/>
  <c r="AH14" i="6" s="1"/>
  <c r="AC21" i="6"/>
  <c r="AE21" i="6" s="1"/>
  <c r="AG21" i="6" s="1"/>
  <c r="AI21" i="6" s="1"/>
  <c r="AB28" i="6"/>
  <c r="AD28" i="6" s="1"/>
  <c r="AF28" i="6" s="1"/>
  <c r="AH28" i="6" s="1"/>
  <c r="AB35" i="6"/>
  <c r="AD35" i="6" s="1"/>
  <c r="AF35" i="6" s="1"/>
  <c r="AH35" i="6" s="1"/>
  <c r="AB50" i="6"/>
  <c r="AD50" i="6" s="1"/>
  <c r="AF50" i="6" s="1"/>
  <c r="AH50" i="6" s="1"/>
  <c r="AC60" i="6"/>
  <c r="AE60" i="6" s="1"/>
  <c r="AG60" i="6" s="1"/>
  <c r="AI60" i="6" s="1"/>
  <c r="AK13" i="6"/>
  <c r="AB13" i="6"/>
  <c r="AD13" i="6" s="1"/>
  <c r="AF13" i="6" s="1"/>
  <c r="AH13" i="6" s="1"/>
  <c r="O15" i="7"/>
  <c r="AC10" i="8"/>
  <c r="AE10" i="8" s="1"/>
  <c r="AG10" i="8" s="1"/>
  <c r="AI10" i="8" s="1"/>
  <c r="AB1" i="8"/>
  <c r="AD1" i="8" s="1"/>
  <c r="AF1" i="8" s="1"/>
  <c r="AH1" i="8" s="1"/>
  <c r="AA2" i="8"/>
  <c r="AC2" i="8" s="1"/>
  <c r="AE2" i="8" s="1"/>
  <c r="AG2" i="8" s="1"/>
  <c r="R8" i="7"/>
  <c r="R9" i="7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3" i="8"/>
  <c r="AD3" i="8" s="1"/>
  <c r="AF3" i="8" s="1"/>
  <c r="AH3" i="8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G11" i="7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W14" i="5"/>
  <c r="V15" i="5"/>
  <c r="X15" i="5" s="1"/>
  <c r="Z15" i="5" s="1"/>
  <c r="AB15" i="5" s="1"/>
  <c r="AD15" i="5" s="1"/>
  <c r="W15" i="5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15" i="5" l="1"/>
  <c r="AA15" i="5" s="1"/>
  <c r="AC15" i="5" s="1"/>
  <c r="AE15" i="5" s="1"/>
  <c r="X14" i="5"/>
  <c r="Z14" i="5" s="1"/>
  <c r="AB14" i="5" s="1"/>
  <c r="AD14" i="5" s="1"/>
  <c r="X21" i="5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P29" i="2"/>
  <c r="Q29" i="2"/>
  <c r="S29" i="2" l="1"/>
  <c r="U29" i="2" s="1"/>
  <c r="W29" i="2" s="1"/>
  <c r="Y29" i="2" s="1"/>
  <c r="R30" i="2"/>
  <c r="T30" i="2" s="1"/>
  <c r="V30" i="2" s="1"/>
  <c r="X30" i="2" s="1"/>
  <c r="S30" i="2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V1" authorId="0" shapeId="0" xr:uid="{AE4931C3-A4BD-410D-A372-5FA01DAF36FE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 xr:uid="{EB591A44-0CF1-474B-9F89-FB291CE581B5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 xr:uid="{4DBB177D-54CA-4FF6-AF78-10481C93B09D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 xr:uid="{DAA9DA2A-B228-40A3-B976-E6C85CE7E00C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 xr:uid="{025E7F32-F6CD-4C5C-BA06-9E1D7B12482A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R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O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<sst xmlns="http://schemas.openxmlformats.org/spreadsheetml/2006/main" count="10148" uniqueCount="444">
  <si>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</si>
  <si>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</si>
  <si>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</si>
  <si>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</si>
  <si>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</si>
  <si>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</si>
  <si>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</si>
  <si>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</si>
  <si>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</si>
  <si>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</si>
  <si>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</si>
  <si>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</si>
  <si>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</si>
  <si>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</si>
  <si>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</si>
  <si>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</si>
  <si>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</si>
  <si>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</si>
  <si>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</si>
  <si>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</si>
  <si>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</si>
  <si>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</si>
  <si>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</si>
  <si>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</si>
  <si>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</si>
  <si>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</si>
  <si>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</si>
  <si>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</si>
  <si>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</si>
  <si>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</si>
  <si>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</si>
  <si>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</si>
  <si>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</si>
  <si>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</si>
  <si>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</si>
  <si>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</si>
  <si>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</si>
  <si>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</si>
  <si>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</si>
  <si>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</si>
  <si>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</si>
  <si>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</si>
  <si>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</si>
  <si>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</si>
  <si>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</si>
  <si>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</si>
  <si>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</si>
  <si>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</si>
  <si>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</si>
  <si>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</si>
  <si>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</si>
  <si>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</si>
  <si>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</si>
  <si>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</si>
  <si>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</si>
  <si>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</si>
  <si>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</si>
  <si>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</si>
  <si>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</si>
  <si>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</si>
  <si>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</si>
  <si>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</si>
  <si>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</si>
  <si>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</si>
  <si>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</si>
  <si>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</si>
  <si>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</si>
  <si>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</si>
  <si>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</si>
  <si>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</si>
  <si>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</si>
  <si>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</si>
  <si>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</si>
  <si>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</si>
  <si>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</si>
  <si>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</si>
  <si>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</si>
  <si>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</si>
  <si>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</si>
  <si>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</si>
  <si>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</si>
  <si>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</si>
  <si>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</si>
  <si>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</si>
  <si>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</si>
  <si>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</si>
  <si>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</si>
  <si>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</si>
  <si>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</si>
  <si>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</si>
  <si>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</si>
  <si>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</si>
  <si>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</si>
  <si>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</si>
  <si>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</si>
  <si>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</si>
  <si>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</si>
  <si>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</si>
  <si>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</si>
  <si>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</si>
  <si>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</si>
  <si>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</si>
  <si>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</si>
  <si>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</si>
  <si>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</si>
  <si>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</si>
  <si>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</si>
  <si>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</si>
  <si>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</si>
  <si>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</si>
  <si>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</si>
  <si>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</si>
  <si>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</si>
  <si>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</si>
  <si>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</si>
  <si>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</si>
  <si>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</si>
  <si>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</si>
  <si>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</si>
  <si>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</si>
  <si>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</si>
  <si>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</si>
  <si>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</si>
  <si>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</si>
  <si>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</si>
  <si>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</si>
  <si>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</si>
  <si>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</si>
  <si>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</si>
  <si>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</si>
  <si>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</si>
  <si>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</si>
  <si>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</si>
  <si>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</si>
  <si>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</si>
  <si>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</si>
  <si>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</si>
  <si>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</si>
  <si>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</si>
  <si>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</si>
  <si>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</si>
  <si>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</si>
  <si>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</si>
  <si>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</si>
  <si>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</si>
  <si>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</si>
  <si>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</si>
  <si>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</si>
  <si>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</si>
  <si>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</si>
  <si>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</si>
  <si>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</si>
  <si>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</si>
  <si>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</si>
  <si>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</si>
  <si>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</si>
  <si>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</si>
  <si>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</si>
  <si>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</si>
  <si>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</si>
  <si>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</si>
  <si>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</si>
  <si>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</si>
  <si>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</si>
  <si>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</si>
  <si>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</si>
  <si>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</si>
  <si>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</si>
  <si>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</si>
  <si>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</si>
  <si>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</si>
  <si>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</si>
  <si>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</si>
  <si>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</si>
  <si>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</si>
  <si>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</si>
  <si>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</si>
  <si>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</si>
  <si>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</si>
  <si>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</si>
  <si>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</si>
  <si>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</si>
  <si>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</si>
  <si>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</si>
  <si>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</si>
  <si>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</si>
  <si>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</si>
  <si>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</si>
  <si>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</si>
  <si>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</si>
  <si>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</si>
  <si>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</si>
  <si>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</si>
  <si>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</si>
  <si>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</si>
  <si>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</si>
  <si>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</si>
  <si>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</si>
  <si>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</si>
  <si>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</si>
  <si>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</si>
  <si>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</si>
  <si>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</si>
  <si>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</si>
  <si>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</si>
  <si>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</si>
  <si>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</si>
  <si>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</si>
  <si>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</si>
  <si>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</si>
  <si>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</si>
  <si>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</si>
  <si>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</si>
  <si>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</si>
  <si>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</si>
  <si>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</si>
  <si>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</si>
  <si>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</si>
  <si>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</si>
  <si>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</si>
  <si>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</si>
  <si>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</si>
  <si>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</si>
  <si>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</si>
  <si>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</si>
  <si>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</si>
  <si>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</si>
  <si>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jobtain brescia</t>
  </si>
  <si>
    <t>VFL8720211</t>
  </si>
  <si>
    <t>piano superiore</t>
  </si>
  <si>
    <t>R899502232</t>
  </si>
  <si>
    <t>R899502231</t>
  </si>
  <si>
    <t>serie toner</t>
  </si>
  <si>
    <t>R9C1617986</t>
  </si>
  <si>
    <t>RGQ0Y06193</t>
  </si>
  <si>
    <t>VFL7913139</t>
  </si>
  <si>
    <t>RGT9402764</t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</si>
  <si>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</si>
  <si>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</si>
  <si>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</si>
  <si>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</si>
  <si>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RGT9X06853</t>
  </si>
  <si>
    <t>R9C0Z13759</t>
  </si>
  <si>
    <t>RGT9X07014</t>
  </si>
  <si>
    <t>VFL7508644</t>
  </si>
  <si>
    <t>VFL7609079</t>
  </si>
  <si>
    <t>VFL8720189</t>
  </si>
  <si>
    <t>RGT1116980</t>
  </si>
  <si>
    <t>H572111539</t>
  </si>
  <si>
    <t>RGT0512157</t>
  </si>
  <si>
    <t>VFL7811819</t>
  </si>
  <si>
    <t>ta3508cipiazzalungasrl@e-send.it</t>
  </si>
  <si>
    <t>RGQ0704971</t>
  </si>
  <si>
    <t>RGT1117200</t>
  </si>
  <si>
    <t>TERZA</t>
  </si>
  <si>
    <t>T907</t>
  </si>
  <si>
    <t>RGT9503983</t>
  </si>
  <si>
    <t>VFL7508687</t>
  </si>
  <si>
    <t>H2H2101317</t>
  </si>
  <si>
    <t>VG67403609</t>
  </si>
  <si>
    <t>H571Z07998</t>
  </si>
  <si>
    <t>CHIUDO NOLEGGIO</t>
  </si>
  <si>
    <t>VQ18Y03640</t>
  </si>
  <si>
    <t>eliminare QUANDO ADDEBITATO CONGUAGLIO</t>
  </si>
  <si>
    <t>R899903428</t>
  </si>
  <si>
    <t>VFL8720210</t>
  </si>
  <si>
    <t>VFL7709773</t>
  </si>
  <si>
    <t>spedire/consegnare</t>
  </si>
  <si>
    <t>1 kit completo di scorta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</si>
  <si>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</si>
  <si>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</si>
  <si>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</si>
  <si>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</si>
  <si>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</si>
  <si>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</si>
  <si>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</si>
  <si>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</si>
  <si>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</si>
  <si>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</si>
  <si>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</si>
  <si>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</si>
  <si>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</si>
  <si>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soliveri@e-send.it</t>
  </si>
  <si>
    <t>MEDEAT</t>
  </si>
  <si>
    <t>H572719519</t>
  </si>
  <si>
    <t>1382800465</t>
  </si>
  <si>
    <t>H572616573</t>
  </si>
  <si>
    <t>1 nero di scorta -tutti 100%</t>
  </si>
  <si>
    <t>tap5536imedeatsrl@e-send.it</t>
  </si>
  <si>
    <t>ta3508ciromas@e-send.it</t>
  </si>
  <si>
    <t>H572718833</t>
  </si>
  <si>
    <t>ROMAS</t>
  </si>
  <si>
    <t>F.LLI GELMINI SRL</t>
  </si>
  <si>
    <t>H572820660</t>
  </si>
  <si>
    <t>ta3508cigelmini@e-send.it</t>
  </si>
  <si>
    <t>&lt;Tue 04 Jul 2023 11:53:17&gt;
  cyan:                 12%
  magenta:              95%
  yellow:               76%
  black:                23%</t>
  </si>
  <si>
    <t>VERDELLINO EX GRUMELLO</t>
  </si>
  <si>
    <t>&lt;Sat 01 Jul 2023 00:00:02&gt;
  cyan:                 14%
  magenta:              23%
  yellow:               19%
  black:                52%</t>
  </si>
  <si>
    <t>&lt;Sat 01 Jul 2023 00:00:02&gt;
  cyan:                 58%
  magenta:              60%
  yellow:               58%
  black:                79%</t>
  </si>
  <si>
    <t>&lt;Fri 14 Jul 2023 18:00:01&gt;
  cyan:                 52%
  magenta:              60%
  yellow:               32%
  black:                84%</t>
  </si>
  <si>
    <t>? Kit Colore</t>
  </si>
  <si>
    <t>&lt;Sun 16 Jul 2023 00:00:01&gt;
  black:                6%</t>
  </si>
  <si>
    <t>1 nero da spedire</t>
  </si>
  <si>
    <t>&lt;Sun 16 Jul 2023 00:00:02&gt;
  black:                19%</t>
  </si>
  <si>
    <t>&lt;Sat 15 Jul 2023 01:00:03&gt;
  black:                26%</t>
  </si>
  <si>
    <t>? 1 nero</t>
  </si>
  <si>
    <t>&lt;Sat 01 Jul 2023 00:00:00&gt;
  cyan:                 20%
  magenta:              9%
  yellow:               14%
  black:                24%</t>
  </si>
  <si>
    <t>&lt;Mon 17 Jul 2023 07:00:00&gt;
  cyan:                 5%
  magenta:              10%
  yellow:               9%
  black:                33%</t>
  </si>
  <si>
    <t>&lt;Sun 16 Jul 2023 23:00:05&gt;
  cyan:                 69%
  magenta:              70%
  yellow:               65%
  black:                36%</t>
  </si>
  <si>
    <t>&lt;Tue 20 Jun 2023 11:29:06&gt;
  cyan:                 44%
  magenta:              45%
  yellow:               40%
  black:                100%</t>
  </si>
  <si>
    <t>1 nero senza fretta appena messo</t>
  </si>
  <si>
    <t>&lt;Sat 01 Jul 2023 00:00:01&gt;
  cyan:                 66%
  magenta:              47%
  yellow:               11%
  black:                34%</t>
  </si>
  <si>
    <t>&lt;Tue 20 Jun 2023 00:00:01&gt;
  cyan:                 97%
  magenta:              97%
  yellow:               97%
  black:                85%</t>
  </si>
  <si>
    <t>&lt;Mon 17 Jul 2023 06:04:00&gt;
  cyan:                 13%
  magenta:              11%
  yellow:               11%
  black:                5%</t>
  </si>
  <si>
    <t>&lt;Fri 07 Jul 2023 08:56:39&gt;
  cyan:                 5%
  magenta:              13%
  yellow:               5%
  black:                70%</t>
  </si>
  <si>
    <t>&lt;Wed 05 Jul 2023 11:21:29&gt;
  black:                99%</t>
  </si>
  <si>
    <t>&lt;Tue 11 Jul 2023 15:00:03&gt;
  cyan:                 60%
  magenta:              61%
  yellow:               48%
  black:                97%</t>
  </si>
  <si>
    <t>ta3508cifinazzi@e-send.it</t>
  </si>
  <si>
    <t>H572820618</t>
  </si>
  <si>
    <t>&lt;Wed 28 Jun 2023 14:15:02&gt;
  cyan:                 98%
  magenta:              97%
  yellow:               97%
  black:                98%</t>
  </si>
  <si>
    <t>&lt;Mon 17 Jul 2023 09:19:15&gt;
  cyan:                 91%
  magenta:              71%
  yellow:               77%
  black:                5%</t>
  </si>
  <si>
    <t>&lt;Mon 17 Jul 2023 07:00:01&gt;
  cyan:                 14%
  magenta:              24%
  yellow:               5%
  black:                13%</t>
  </si>
  <si>
    <t>&lt;Sat 01 Jul 2023 00:00:00&gt;
  cyan:                 26%
  magenta:              27%
  yellow:               32%
  black:                60%</t>
  </si>
  <si>
    <t>verifica fine settembre</t>
  </si>
  <si>
    <t>&lt;Tue 04 Jul 2023 08:12:08&gt;
  cyan:                 12%
  magenta:              99%
  yellow:               99%
  black:                47%</t>
  </si>
  <si>
    <t>utilizzo elevato</t>
  </si>
  <si>
    <t>verifica ogni mese</t>
  </si>
  <si>
    <t>ta2507cimedeat@e-send.it</t>
  </si>
  <si>
    <t>TA 2507 ci</t>
  </si>
  <si>
    <t>RGT9503977</t>
  </si>
  <si>
    <t>&lt;Tue 20 Jun 2023 00:00:04&gt;
  cyan:                 88%
  magenta:              87%
  yellow:               86%
  black:                25%</t>
  </si>
  <si>
    <t xml:space="preserve">spedire a dicembre 1 di scorta </t>
  </si>
  <si>
    <t>&lt;Mon 17 Jul 2023 09:47:15&gt;
  cyan:                 34%
  magenta:              24%
  yellow:               12%
  black:                5%</t>
  </si>
  <si>
    <t xml:space="preserve">1 nero senza fretta </t>
  </si>
  <si>
    <t>&lt;Mon 17 Jul 2023 07:00:01&gt;
  cyan:                 63%
  magenta:              57%
  yellow:               39%
  black:                61%</t>
  </si>
  <si>
    <t>&lt;Thu 06 Jul 2023 08:26:25&gt;
  cyan:                 47%
  magenta:              60%
  yellow:               46%
  black:                65%</t>
  </si>
  <si>
    <t>&lt;Sat 01 Jul 2023 00:00:02&gt;
  cyan:                 68%
  magenta:              64%
  yellow:               61%
  black:                99%</t>
  </si>
  <si>
    <t>&lt;Thu 06 Jul 2023 11:57:30&gt;
  cyan:                 81%
  magenta:              80%
  yellow:               80%
  black:                99%</t>
  </si>
  <si>
    <t>&lt;Tue 20 Jun 2023 00:00:01&gt;
  cyan:                 89%
  magenta:              86%
  yellow:               83%
  black:                69%</t>
  </si>
  <si>
    <t>&lt;Thu 20 Apr 2023 00:00:00&gt;
  cyan:                 72%
  magenta:              77%
  yellow:               66%
  black:                18%</t>
  </si>
  <si>
    <t>H572719503</t>
  </si>
  <si>
    <t>??</t>
  </si>
  <si>
    <t>&lt;Sat 01 Jul 2023 08:12:06&gt;
  cyan:                 44%
  magenta:              45%
  yellow:               31%
  black:                39%</t>
  </si>
  <si>
    <t>&lt;Sat 01 Jul 2023 00:00:03&gt;
  cyan:                 84%
  magenta:              83%
  yellow:               81%
  black:                77%</t>
  </si>
  <si>
    <t>ta3508cirealtime@e-send.it</t>
  </si>
  <si>
    <t>REAL-TIME</t>
  </si>
  <si>
    <t>H572719622</t>
  </si>
  <si>
    <t>&lt;Wed 28 Jun 2023 07:35:44&gt;
  cyan:                 98%
  magenta:              97%
  yellow:               98%
  black:                98%</t>
  </si>
  <si>
    <t>&lt;Tue 20 Jun 2023 00:00:02&gt;
  cyan:                 97%
  magenta:              96%
  yellow:               96%
  black:                89%</t>
  </si>
  <si>
    <t>&lt;Tue 11 Jul 2023 16:00:03&gt;
  cyan:                 57%
  magenta:              62%
  yellow:               75%
  black:                43%</t>
  </si>
  <si>
    <t>ta3508cismea@e-send.it</t>
  </si>
  <si>
    <t>&lt;Wed 12 Jul 2023 14:00:21&gt;
  cyan:                 32%
  magenta:              24%
  yellow:               21%
  black:                94%</t>
  </si>
  <si>
    <t>&lt;Tue 20 Jun 2023 16:42:55&gt;
  cyan:                 74%
  magenta:              75%
  yellow:               72%
  black:                61%</t>
  </si>
  <si>
    <t>&lt;Mon 17 Jul 2023 06:00:01&gt;
  cyan:                 47%
  magenta:              53%
  yellow:               43%
  black:                86%</t>
  </si>
  <si>
    <t xml:space="preserve"> PROLUNGHIAMO NOLEGGIO FINO A FINE TONER</t>
  </si>
  <si>
    <t>&lt;Mon 17 Jul 2023 07:00:04&gt;
  cyan:                 18%
  magenta:              15%
  yellow:               9%
  black:                11%</t>
  </si>
  <si>
    <t>&lt;Mon 17 Jul 2023 07:00:01&gt;
  cyan:                 95%
  magenta:              41%
  yellow:               5%
  black:                80%</t>
  </si>
  <si>
    <t>&lt;Sat 01 Jul 2023 00:00:02&gt;
  black:                6%</t>
  </si>
  <si>
    <t>1 nero</t>
  </si>
  <si>
    <t>&lt;Thu 13 Jul 2023 16:39:20&gt;
  black:                17%</t>
  </si>
  <si>
    <t>ta3508cimedeatsrl@e-send.it</t>
  </si>
  <si>
    <t>questo è il conguaglio 3508 per le copie nel periodo prima della sostituzione</t>
  </si>
  <si>
    <t>nuova che sostituisce la 3508</t>
  </si>
  <si>
    <t>contatori iniziali stampante usata</t>
  </si>
  <si>
    <t>Email</t>
  </si>
  <si>
    <t>Pagine nero</t>
  </si>
  <si>
    <t>Pagine colore</t>
  </si>
  <si>
    <t>Ciano</t>
  </si>
  <si>
    <t>Magenta</t>
  </si>
  <si>
    <t>Giallo</t>
  </si>
  <si>
    <t>Nero</t>
  </si>
  <si>
    <t>Seriale</t>
  </si>
  <si>
    <t>Data</t>
  </si>
  <si>
    <t>Riga</t>
  </si>
  <si>
    <t>lfinazzi-ta@e-send.it</t>
  </si>
  <si>
    <t>VFL7508161</t>
  </si>
  <si>
    <t>ta2506europroject@e-send.it</t>
  </si>
  <si>
    <t>VFL8720166</t>
  </si>
  <si>
    <t>ta2540isavar@e-send.it</t>
  </si>
  <si>
    <t>R659Z02940</t>
  </si>
  <si>
    <t>stampantiflligelmini@e-send.it</t>
  </si>
  <si>
    <t>VRJ8609611</t>
  </si>
  <si>
    <t>Controllare</t>
  </si>
  <si>
    <t>notification@facebookmail.com</t>
  </si>
  <si>
    <t>mail-service@gigya-raas.com</t>
  </si>
  <si>
    <t>avvisi@messaggi.intesasanpaolo.com</t>
  </si>
  <si>
    <t>noreply@hype.it</t>
  </si>
  <si>
    <t>noreply-local-guides@google.com</t>
  </si>
  <si>
    <t>no-reply@accounts.google.com</t>
  </si>
  <si>
    <t>swer4412@gmail.com</t>
  </si>
  <si>
    <t>noreply@youtube.com</t>
  </si>
  <si>
    <t>noreply-daa26fef@plus.google.com</t>
  </si>
  <si>
    <t>Welcome@emails.skype.com</t>
  </si>
  <si>
    <t>no_reply@youtube.com</t>
  </si>
  <si>
    <t>noreply-52487a19@plus.google.com</t>
  </si>
  <si>
    <t>notification+kjdpjmu-imdi@facebookmail.com</t>
  </si>
  <si>
    <t>notification+kjdppkdumip_@facebookmail.com</t>
  </si>
  <si>
    <t>update+kjdppkdumip_@facebookmail.com</t>
  </si>
  <si>
    <t>noreply4@emails.skype.com</t>
  </si>
  <si>
    <t>sony@email.sonyentertainmentnetwork.com</t>
  </si>
  <si>
    <t>noreply@rockstargames.com</t>
  </si>
  <si>
    <t>noreply@mojang.com</t>
  </si>
  <si>
    <t>do-not-reply@logmein.com</t>
  </si>
  <si>
    <t>noreply-52cca743@plus.google.com</t>
  </si>
  <si>
    <t>noreply@robocraftgame.com</t>
  </si>
  <si>
    <t>noreply@rocketeergames.com</t>
  </si>
  <si>
    <t>no-reply@mail.kongregate.com</t>
  </si>
  <si>
    <t>security@facebookmail.com</t>
  </si>
  <si>
    <t>info@scuolabook.it</t>
  </si>
  <si>
    <t>mailer-daemon@googlemail.com</t>
  </si>
  <si>
    <t>password+kjdppkdumip_@facebookmail.com</t>
  </si>
  <si>
    <t>noreply@minehq.com</t>
  </si>
  <si>
    <t>calendar-notification@google.com</t>
  </si>
  <si>
    <t>membership-no-reply@square-enix.com</t>
  </si>
  <si>
    <t>account-security-noreply@account.microsoft.com</t>
  </si>
  <si>
    <t>AccountInfo@asr-games.net</t>
  </si>
  <si>
    <t>support@rocketeergames.com</t>
  </si>
  <si>
    <t>no-reply@aternos.org</t>
  </si>
  <si>
    <t>info@mail2.mcsignup.com</t>
  </si>
  <si>
    <t>info@mail7.mcsignup.com</t>
  </si>
  <si>
    <t>info=codespark.org@mail66.atl71.mcdlv.net</t>
  </si>
  <si>
    <t>info=codespark.org@mail77.atl31.mcdlv.net</t>
  </si>
  <si>
    <t>info@mail5.mcsignup.com</t>
  </si>
  <si>
    <t>info=codespark.org@mail30.atl91.mcsv.net</t>
  </si>
  <si>
    <t>info=codespark.org@mail27.us4.mcsv.net</t>
  </si>
  <si>
    <t>info=codespark.org@mail40.atl51.rsgsv.net</t>
  </si>
  <si>
    <t>info=codespark.org@mail83.atl71.mcdlv.net</t>
  </si>
  <si>
    <t>info=codespark.org@mail165.suw14.mcdlv.net</t>
  </si>
  <si>
    <t>info=codespark.org@mail239.suw14.mcdlv.net</t>
  </si>
  <si>
    <t>info=codespark.org@mail243.suw12.mcsv.net</t>
  </si>
  <si>
    <t>info=codespark.org@mail3.atl161.mcsv.net</t>
  </si>
  <si>
    <t>hello@email.skype.com</t>
  </si>
  <si>
    <t>info=codespark.org@mail175.suw12.mcsv.net</t>
  </si>
  <si>
    <t>info=codespark.org@mail161.atl101.mcdlv.net</t>
  </si>
  <si>
    <t>info=codespark.org@mail66.suw17.mcsv.net</t>
  </si>
  <si>
    <t>info@minecraft-italia.it</t>
  </si>
  <si>
    <t>info=codespark.org@mail149.atl81.rsgsv.net</t>
  </si>
  <si>
    <t>info=codespark.org@mail26.atl71.mcdlv.net</t>
  </si>
  <si>
    <t>info=codespark.org@mail191.suw12.mcsv.net</t>
  </si>
  <si>
    <t>info=codespark.org@mail190.atl121.mcsv.net</t>
  </si>
  <si>
    <t>info=codespark.org@mail217.atl81.rsgsv.net</t>
  </si>
  <si>
    <t>info=codespark.org@mail55.atl161.mcsv.net</t>
  </si>
  <si>
    <t>noreply@steampowered.com</t>
  </si>
  <si>
    <t>info=codespark.org@mail41.atl91.mcsv.net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</si>
</sst>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9" fillId="0" borderId="0"/>
  </cellStyleXfs>
  <cellXfs count="289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14" fontId="18" fillId="2" borderId="4" xfId="0" applyNumberFormat="1" applyFont="1" applyFill="1" applyBorder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3" fontId="1" fillId="13" borderId="0" xfId="0" applyNumberFormat="1" applyFont="1" applyFill="1"/>
    <xf numFmtId="0" fontId="1" fillId="7" borderId="0" xfId="0" applyFont="1" applyFill="1"/>
    <xf numFmtId="0" fontId="0" fillId="0" borderId="0" xfId="0" quotePrefix="1"/>
    <xf numFmtId="17" fontId="0" fillId="2" borderId="0" xfId="0" applyNumberFormat="1" applyFill="1" applyAlignment="1">
      <alignment horizontal="center" vertical="center"/>
    </xf>
    <xf numFmtId="44" fontId="3" fillId="2" borderId="0" xfId="1" applyFont="1" applyFill="1"/>
    <xf numFmtId="3" fontId="3" fillId="2" borderId="0" xfId="0" applyNumberFormat="1" applyFont="1" applyFill="1"/>
    <xf numFmtId="14" fontId="1" fillId="13" borderId="0" xfId="0" applyNumberFormat="1" applyFont="1" applyFill="1"/>
    <xf numFmtId="14" fontId="18" fillId="7" borderId="0" xfId="0" applyNumberFormat="1" applyFont="1" applyFill="1"/>
    <xf numFmtId="0" fontId="1" fillId="22" borderId="0" xfId="0" applyFont="1" applyFill="1"/>
    <xf numFmtId="0" fontId="1" fillId="13" borderId="0" xfId="0" applyFont="1" applyFill="1"/>
    <xf numFmtId="44" fontId="0" fillId="2" borderId="0" xfId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4" fontId="0" fillId="2" borderId="0" xfId="0" applyNumberFormat="1" applyFill="1"/>
    <xf numFmtId="3" fontId="1" fillId="0" borderId="0" xfId="0" applyNumberFormat="1" applyFont="1"/>
    <xf numFmtId="0" fontId="1" fillId="0" borderId="0" xfId="0" applyFont="1"/>
    <xf numFmtId="2" fontId="3" fillId="25" borderId="0" xfId="0" applyNumberFormat="1" applyFont="1" applyFill="1"/>
    <xf numFmtId="1" fontId="0" fillId="2" borderId="0" xfId="0" applyNumberFormat="1" applyFill="1" applyAlignment="1">
      <alignment horizontal="center"/>
    </xf>
    <xf numFmtId="44" fontId="11" fillId="12" borderId="0" xfId="1" applyFont="1" applyFill="1"/>
    <xf numFmtId="0" fontId="3" fillId="10" borderId="0" xfId="0" applyFont="1" applyFill="1"/>
    <xf numFmtId="22" fontId="0" fillId="0" borderId="0" xfId="0" applyNumberFormat="1"/>
    <xf numFmtId="0" fontId="0" fillId="26" borderId="0" xfId="0" applyFill="1"/>
    <xf numFmtId="17" fontId="0" fillId="0" borderId="0" xfId="0" applyNumberFormat="1" applyAlignment="1">
      <alignment horizontal="center" wrapText="1"/>
    </xf>
  </cellXfs>
  <cellStyles count="3">
    <cellStyle name="Normale" xfId="0" builtinId="0"/>
    <cellStyle name="Normale 2" xfId="2" xr:uid="{00000000-0005-0000-0000-000002000000}"/>
    <cellStyle name="Valuta" xfId="1" builtinId="4"/>
  </cellStyles>
  <dxfs count="18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3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U66"/>
  <sheetViews>
    <sheetView topLeftCell="A18" zoomScale="85" zoomScaleNormal="85" workbookViewId="0">
      <selection activeCell="B27" sqref="B27"/>
    </sheetView>
  </sheetViews>
  <sheetFormatPr defaultRowHeight="15" outlineLevelCol="1" x14ac:dyDescent="0.25"/>
  <cols>
    <col min="1" max="1" width="5.85546875" customWidth="1"/>
    <col min="2" max="2" width="35.28515625" customWidth="1"/>
    <col min="3" max="3" width="21.28515625" customWidth="1"/>
    <col min="4" max="4" width="16.28515625" style="23" customWidth="1"/>
    <col min="5" max="5" width="7.140625" style="221" customWidth="1" outlineLevel="1"/>
    <col min="6" max="6" width="12.28515625" style="23" customWidth="1" outlineLevel="1"/>
    <col min="7" max="7" width="16.7109375" style="23" customWidth="1" outlineLevel="1"/>
    <col min="8" max="8" width="12.85546875" style="82" customWidth="1"/>
    <col min="9" max="9" width="12.7109375" style="182" hidden="1" customWidth="1"/>
    <col min="10" max="10" width="12.7109375" style="184" hidden="1" customWidth="1"/>
    <col min="11" max="11" width="15.5703125" style="47" customWidth="1" outlineLevel="1"/>
    <col min="12" max="12" width="7" style="42" customWidth="1" outlineLevel="1"/>
    <col min="13" max="13" width="11.7109375" customWidth="1" outlineLevel="1"/>
    <col min="14" max="14" width="10.7109375" customWidth="1" outlineLevel="1"/>
    <col min="15" max="15" width="9.28515625" style="5" customWidth="1" outlineLevel="1" collapsed="1"/>
    <col min="16" max="16" width="8.28515625" style="3" customWidth="1" outlineLevel="1"/>
    <col min="17" max="17" width="7.5703125" style="3" customWidth="1" outlineLevel="1"/>
    <col min="18" max="18" width="8" customWidth="1" outlineLevel="1"/>
    <col min="19" max="19" width="11.85546875" style="3" customWidth="1" outlineLevel="1"/>
    <col min="20" max="20" width="8.140625" style="3" customWidth="1" outlineLevel="1"/>
    <col min="21" max="21" width="8.7109375" style="3" customWidth="1" outlineLevel="1"/>
    <col min="22" max="22" width="12.140625" style="3" customWidth="1"/>
    <col min="23" max="24" width="9.28515625" style="3" bestFit="1" customWidth="1"/>
    <col min="25" max="25" width="11.5703125" style="3" customWidth="1"/>
    <col min="26" max="26" width="9.42578125" style="3" customWidth="1" outlineLevel="1"/>
    <col min="27" max="27" width="9" style="3" customWidth="1" outlineLevel="1"/>
    <col min="28" max="28" width="8.42578125" style="3" customWidth="1" outlineLevel="1"/>
    <col min="29" max="29" width="9.140625" customWidth="1" outlineLevel="1"/>
    <col min="30" max="30" width="9" customWidth="1" outlineLevel="1"/>
    <col min="31" max="31" width="8.5703125" customWidth="1" outlineLevel="1"/>
    <col min="32" max="32" width="9.5703125" style="7" customWidth="1" outlineLevel="1"/>
    <col min="33" max="33" width="8.140625" style="7" customWidth="1" outlineLevel="1"/>
    <col min="34" max="35" width="13.140625" customWidth="1"/>
    <col min="36" max="36" width="12" style="91" customWidth="1" outlineLevel="1"/>
    <col min="37" max="37" width="12.5703125" style="91" customWidth="1" outlineLevel="1"/>
    <col min="38" max="39" width="9.140625" customWidth="1" outlineLevel="1"/>
    <col min="40" max="40" width="9.140625" style="2" customWidth="1" outlineLevel="1"/>
    <col min="41" max="41" width="10.140625" style="2" customWidth="1" outlineLevel="1"/>
    <col min="42" max="42" width="10.85546875" style="2" customWidth="1" outlineLevel="1"/>
    <col min="43" max="43" width="10.85546875" style="180" customWidth="1"/>
    <col min="44" max="44" width="37.28515625" customWidth="1"/>
    <col min="45" max="45" width="24.5703125" customWidth="1"/>
    <col min="46" max="46" width="11.7109375" customWidth="1"/>
  </cols>
  <sheetData>
    <row r="1" spans="1:46" s="242" customFormat="1" ht="114" customHeight="1" x14ac:dyDescent="0.25">
      <c r="A1" s="222"/>
      <c r="B1" s="217" t="s">
        <v>150</v>
      </c>
      <c r="C1" s="223">
        <f>COUNTA(C2:C56)</f>
        <v>55</v>
      </c>
      <c r="D1" s="217" t="s">
        <v>17</v>
      </c>
      <c r="E1" s="217" t="s">
        <v>138</v>
      </c>
      <c r="F1" s="217" t="s">
        <v>226</v>
      </c>
      <c r="G1" s="217" t="s">
        <v>115</v>
      </c>
      <c r="H1" s="224" t="s">
        <v>18</v>
      </c>
      <c r="I1" s="225" t="s">
        <v>191</v>
      </c>
      <c r="J1" s="226" t="s">
        <v>192</v>
      </c>
      <c r="K1" s="224" t="s">
        <v>19</v>
      </c>
      <c r="L1" s="227" t="s">
        <v>70</v>
      </c>
      <c r="M1" s="228" t="s">
        <v>1</v>
      </c>
      <c r="N1" s="225" t="s">
        <v>2</v>
      </c>
      <c r="O1" s="229" t="s">
        <v>59</v>
      </c>
      <c r="P1" s="230" t="s">
        <v>60</v>
      </c>
      <c r="Q1" s="231" t="s">
        <v>58</v>
      </c>
      <c r="R1" s="232" t="s">
        <v>108</v>
      </c>
      <c r="S1" s="233" t="s">
        <v>21</v>
      </c>
      <c r="T1" s="233" t="s">
        <v>55</v>
      </c>
      <c r="U1" s="233" t="s">
        <v>56</v>
      </c>
      <c r="V1" s="234" t="s">
        <v>117</v>
      </c>
      <c r="W1" s="234" t="s">
        <v>52</v>
      </c>
      <c r="X1" s="234" t="s">
        <v>46</v>
      </c>
      <c r="Y1" s="235" t="s">
        <v>95</v>
      </c>
      <c r="Z1" s="235" t="s">
        <v>67</v>
      </c>
      <c r="AA1" s="235" t="s">
        <v>66</v>
      </c>
      <c r="AB1" s="236" t="s">
        <v>62</v>
      </c>
      <c r="AC1" s="236" t="s">
        <v>63</v>
      </c>
      <c r="AD1" s="237" t="s">
        <v>64</v>
      </c>
      <c r="AE1" s="237" t="s">
        <v>65</v>
      </c>
      <c r="AF1" s="238" t="s">
        <v>98</v>
      </c>
      <c r="AG1" s="238" t="s">
        <v>99</v>
      </c>
      <c r="AH1" s="237" t="s">
        <v>97</v>
      </c>
      <c r="AI1" s="237" t="s">
        <v>96</v>
      </c>
      <c r="AJ1" s="239" t="s">
        <v>110</v>
      </c>
      <c r="AK1" s="239" t="s">
        <v>113</v>
      </c>
      <c r="AL1" s="240" t="s">
        <v>111</v>
      </c>
      <c r="AM1" s="240" t="s">
        <v>112</v>
      </c>
      <c r="AN1" s="240" t="s">
        <v>232</v>
      </c>
      <c r="AO1" s="240" t="s">
        <v>139</v>
      </c>
      <c r="AP1" s="240" t="s">
        <v>140</v>
      </c>
      <c r="AQ1" s="241" t="s">
        <v>149</v>
      </c>
      <c r="AR1" s="240" t="s">
        <v>179</v>
      </c>
      <c r="AS1" s="253" t="s">
        <v>267</v>
      </c>
    </row>
    <row r="2" spans="1:46" x14ac:dyDescent="0.25">
      <c r="B2" s="176" t="s">
        <v>152</v>
      </c>
      <c r="C2" s="174" t="s">
        <v>50</v>
      </c>
      <c r="D2" s="38" t="s">
        <v>13</v>
      </c>
      <c r="E2" s="218"/>
      <c r="F2" s="38" t="s">
        <v>223</v>
      </c>
      <c r="G2" s="38"/>
      <c r="H2" s="80">
        <v>43734</v>
      </c>
      <c r="I2" s="181">
        <f t="shared" ref="I2:I11" si="0">IF(M2="",N2/L2,M2)</f>
        <v>66.666666666666671</v>
      </c>
      <c r="J2" s="183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90">
        <v>44927</v>
      </c>
      <c r="T2" s="244">
        <v>166291</v>
      </c>
      <c r="U2" s="244">
        <v>23568</v>
      </c>
      <c r="V2" s="115">
        <v>45096.382291666669</v>
      </c>
      <c r="W2" s="246">
        <v>185833</v>
      </c>
      <c r="X2" s="246">
        <v>32448</v>
      </c>
      <c r="Y2" s="126">
        <f t="shared" ref="Y2:Y56" si="2">(V2-S2)/30.42</f>
        <v>5.56812267148812</v>
      </c>
      <c r="Z2" s="30">
        <f t="shared" ref="Z2:AA33" si="3">W2-T2</f>
        <v>19542</v>
      </c>
      <c r="AA2" s="30">
        <f t="shared" si="3"/>
        <v>8880</v>
      </c>
      <c r="AB2" s="85">
        <f t="shared" ref="AB2:AB56" si="4">Z2/Y2</f>
        <v>3509.6209535874436</v>
      </c>
      <c r="AC2" s="85">
        <f t="shared" ref="AC2:AC56" si="5">AA2/Y2</f>
        <v>1594.7924505094923</v>
      </c>
      <c r="AD2" s="32">
        <f t="shared" ref="AD2:AD56" si="6">AB2-O2/L2</f>
        <v>2509.6209535874436</v>
      </c>
      <c r="AE2" s="32">
        <f t="shared" ref="AE2:AE56" si="7">AC2-Q2/L2</f>
        <v>1494.7924505094923</v>
      </c>
      <c r="AF2" s="94">
        <f t="shared" ref="AF2:AF56" si="8">AD2*Y2</f>
        <v>13973.87732851188</v>
      </c>
      <c r="AG2" s="94">
        <f t="shared" ref="AG2:AG56" si="9">AE2*Y2</f>
        <v>8323.1877328511873</v>
      </c>
      <c r="AH2" s="86">
        <f t="shared" ref="AH2:AH56" si="10">AF2*P2</f>
        <v>139.73877328511881</v>
      </c>
      <c r="AI2" s="86">
        <f t="shared" ref="AI2:AI56" si="11">AG2*R2</f>
        <v>665.85501862809497</v>
      </c>
      <c r="AJ2" s="91">
        <f t="shared" ref="AJ2:AK12" si="12">W2/AL2</f>
        <v>9.2916500000000006</v>
      </c>
      <c r="AK2" s="91">
        <f t="shared" si="12"/>
        <v>2.7040000000000002</v>
      </c>
      <c r="AL2" s="173">
        <v>20000</v>
      </c>
      <c r="AM2" s="173">
        <v>12000</v>
      </c>
      <c r="AN2" s="250">
        <v>8511</v>
      </c>
      <c r="AO2" s="215">
        <v>10</v>
      </c>
      <c r="AP2" s="215">
        <v>5</v>
      </c>
      <c r="AQ2" s="188">
        <v>45124</v>
      </c>
      <c r="AR2" s="7" t="s">
        <v>295</v>
      </c>
      <c r="AS2">
        <v>0</v>
      </c>
      <c r="AT2" s="35"/>
    </row>
    <row r="3" spans="1:46" x14ac:dyDescent="0.25">
      <c r="B3" s="214" t="s">
        <v>184</v>
      </c>
      <c r="C3" s="174" t="s">
        <v>199</v>
      </c>
      <c r="D3" s="38" t="s">
        <v>124</v>
      </c>
      <c r="E3" s="218"/>
      <c r="F3" s="38" t="s">
        <v>224</v>
      </c>
      <c r="G3" s="38" t="s">
        <v>296</v>
      </c>
      <c r="H3" s="80">
        <v>44482</v>
      </c>
      <c r="I3" s="181">
        <f t="shared" si="0"/>
        <v>100</v>
      </c>
      <c r="J3" s="183">
        <f t="shared" si="1"/>
        <v>0.06</v>
      </c>
      <c r="K3" s="99">
        <v>45943</v>
      </c>
      <c r="L3" s="100">
        <v>3</v>
      </c>
      <c r="M3" s="101"/>
      <c r="N3" s="178">
        <v>300</v>
      </c>
      <c r="O3" s="175">
        <v>5000</v>
      </c>
      <c r="P3" s="108">
        <v>0.01</v>
      </c>
      <c r="Q3" s="174">
        <v>500</v>
      </c>
      <c r="R3" s="108">
        <v>0.08</v>
      </c>
      <c r="S3" s="190">
        <v>44930</v>
      </c>
      <c r="T3" s="244">
        <v>9677</v>
      </c>
      <c r="U3" s="244">
        <v>10829</v>
      </c>
      <c r="V3" s="115">
        <v>45078.002002314817</v>
      </c>
      <c r="W3" s="246">
        <v>13037</v>
      </c>
      <c r="X3" s="246">
        <v>16790</v>
      </c>
      <c r="Y3" s="126">
        <f t="shared" si="2"/>
        <v>4.8652860721504672</v>
      </c>
      <c r="Z3" s="30">
        <f t="shared" si="3"/>
        <v>3360</v>
      </c>
      <c r="AA3" s="30">
        <f t="shared" si="3"/>
        <v>5961</v>
      </c>
      <c r="AB3" s="85">
        <f t="shared" si="4"/>
        <v>690.60687288936185</v>
      </c>
      <c r="AC3" s="85">
        <f t="shared" si="5"/>
        <v>1225.2105860992517</v>
      </c>
      <c r="AD3" s="32">
        <f t="shared" si="6"/>
        <v>-976.05979377730489</v>
      </c>
      <c r="AE3" s="32">
        <f t="shared" si="7"/>
        <v>1058.543919432585</v>
      </c>
      <c r="AF3" s="94">
        <f t="shared" si="8"/>
        <v>-4748.8101202507787</v>
      </c>
      <c r="AG3" s="94">
        <f t="shared" si="9"/>
        <v>5150.1189879749218</v>
      </c>
      <c r="AH3" s="86">
        <f t="shared" si="10"/>
        <v>-47.488101202507785</v>
      </c>
      <c r="AI3" s="86">
        <f t="shared" si="11"/>
        <v>412.00951903799375</v>
      </c>
      <c r="AJ3" s="91">
        <f t="shared" si="12"/>
        <v>0.65185000000000004</v>
      </c>
      <c r="AK3" s="91">
        <f t="shared" si="12"/>
        <v>1.3991666666666667</v>
      </c>
      <c r="AL3" s="173">
        <v>20000</v>
      </c>
      <c r="AM3" s="173">
        <v>12000</v>
      </c>
      <c r="AN3" s="250">
        <v>8511</v>
      </c>
      <c r="AO3" s="215">
        <v>2</v>
      </c>
      <c r="AP3" s="215">
        <v>1</v>
      </c>
      <c r="AQ3" s="188">
        <v>45124</v>
      </c>
      <c r="AR3" s="7" t="s">
        <v>297</v>
      </c>
      <c r="AS3" s="53" t="s">
        <v>268</v>
      </c>
      <c r="AT3" s="35"/>
    </row>
    <row r="4" spans="1:46" x14ac:dyDescent="0.25">
      <c r="B4" s="7" t="s">
        <v>205</v>
      </c>
      <c r="C4" s="174" t="s">
        <v>199</v>
      </c>
      <c r="D4" s="38" t="s">
        <v>194</v>
      </c>
      <c r="E4" s="218"/>
      <c r="F4" s="38" t="s">
        <v>225</v>
      </c>
      <c r="G4" s="38" t="s">
        <v>227</v>
      </c>
      <c r="H4" s="80">
        <v>44733</v>
      </c>
      <c r="I4" s="181">
        <f t="shared" si="0"/>
        <v>130</v>
      </c>
      <c r="J4" s="183">
        <f t="shared" si="1"/>
        <v>7.8E-2</v>
      </c>
      <c r="K4" s="99">
        <v>46194</v>
      </c>
      <c r="L4" s="100">
        <v>3</v>
      </c>
      <c r="M4" s="101"/>
      <c r="N4" s="101">
        <v>390</v>
      </c>
      <c r="O4" s="267">
        <v>5000</v>
      </c>
      <c r="P4" s="268">
        <v>0.01</v>
      </c>
      <c r="Q4" s="103">
        <v>500</v>
      </c>
      <c r="R4" s="108">
        <v>0.08</v>
      </c>
      <c r="S4" s="190">
        <v>44935</v>
      </c>
      <c r="T4" s="244">
        <v>4803</v>
      </c>
      <c r="U4" s="244">
        <v>4918</v>
      </c>
      <c r="V4" s="115">
        <v>45078.001851851855</v>
      </c>
      <c r="W4" s="246">
        <v>15803</v>
      </c>
      <c r="X4" s="246">
        <v>12172</v>
      </c>
      <c r="Y4" s="126">
        <f t="shared" si="2"/>
        <v>4.7009155769840714</v>
      </c>
      <c r="Z4" s="30">
        <f t="shared" si="3"/>
        <v>11000</v>
      </c>
      <c r="AA4" s="30">
        <f t="shared" si="3"/>
        <v>7254</v>
      </c>
      <c r="AB4" s="85">
        <f t="shared" si="4"/>
        <v>2339.9696973620576</v>
      </c>
      <c r="AC4" s="85">
        <f t="shared" si="5"/>
        <v>1543.1036531513059</v>
      </c>
      <c r="AD4" s="32">
        <f t="shared" si="6"/>
        <v>673.30303069539082</v>
      </c>
      <c r="AE4" s="32">
        <f t="shared" si="7"/>
        <v>1376.4369864846392</v>
      </c>
      <c r="AF4" s="94">
        <f t="shared" si="8"/>
        <v>3165.140705026547</v>
      </c>
      <c r="AG4" s="94">
        <f t="shared" si="9"/>
        <v>6470.5140705026542</v>
      </c>
      <c r="AH4" s="86">
        <f t="shared" si="10"/>
        <v>31.651407050265473</v>
      </c>
      <c r="AI4" s="86">
        <f t="shared" si="11"/>
        <v>517.64112564021229</v>
      </c>
      <c r="AJ4" s="91">
        <f t="shared" si="12"/>
        <v>0.79015000000000002</v>
      </c>
      <c r="AK4" s="91">
        <f t="shared" si="12"/>
        <v>1.0143333333333333</v>
      </c>
      <c r="AL4" s="173">
        <v>20000</v>
      </c>
      <c r="AM4" s="173">
        <v>12000</v>
      </c>
      <c r="AN4" s="250">
        <v>8531</v>
      </c>
      <c r="AO4" s="215">
        <v>3</v>
      </c>
      <c r="AP4" s="215">
        <v>1</v>
      </c>
      <c r="AQ4" s="188">
        <v>45124</v>
      </c>
      <c r="AR4" s="7" t="s">
        <v>298</v>
      </c>
      <c r="AS4">
        <v>0</v>
      </c>
      <c r="AT4" s="35"/>
    </row>
    <row r="5" spans="1:46" x14ac:dyDescent="0.25">
      <c r="B5" s="214" t="s">
        <v>154</v>
      </c>
      <c r="C5" s="174" t="s">
        <v>222</v>
      </c>
      <c r="D5" s="38" t="s">
        <v>13</v>
      </c>
      <c r="E5" s="218"/>
      <c r="F5" s="38" t="s">
        <v>228</v>
      </c>
      <c r="G5" s="38" t="s">
        <v>229</v>
      </c>
      <c r="H5" s="80">
        <v>43474</v>
      </c>
      <c r="I5" s="181">
        <f t="shared" si="0"/>
        <v>90</v>
      </c>
      <c r="J5" s="183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0">
        <v>44932</v>
      </c>
      <c r="T5" s="244">
        <v>102382</v>
      </c>
      <c r="U5" s="244">
        <v>23797</v>
      </c>
      <c r="V5" s="115">
        <v>45093.751574074071</v>
      </c>
      <c r="W5" s="246">
        <v>105699</v>
      </c>
      <c r="X5" s="246">
        <v>24379</v>
      </c>
      <c r="Y5" s="126">
        <f t="shared" si="2"/>
        <v>5.3172772542429634</v>
      </c>
      <c r="Z5" s="30">
        <f t="shared" si="3"/>
        <v>3317</v>
      </c>
      <c r="AA5" s="30">
        <f t="shared" si="3"/>
        <v>582</v>
      </c>
      <c r="AB5" s="85">
        <f t="shared" si="4"/>
        <v>623.81550583114199</v>
      </c>
      <c r="AC5" s="85">
        <f t="shared" si="5"/>
        <v>109.45451443886785</v>
      </c>
      <c r="AD5" s="32">
        <f t="shared" si="6"/>
        <v>-1376.184494168858</v>
      </c>
      <c r="AE5" s="32">
        <f t="shared" si="7"/>
        <v>-190.54548556113215</v>
      </c>
      <c r="AF5" s="94">
        <f t="shared" si="8"/>
        <v>-7317.5545084859268</v>
      </c>
      <c r="AG5" s="94">
        <f t="shared" si="9"/>
        <v>-1013.183176272889</v>
      </c>
      <c r="AH5" s="86">
        <f t="shared" si="10"/>
        <v>-73.175545084859266</v>
      </c>
      <c r="AI5" s="86">
        <f t="shared" si="11"/>
        <v>-81.054654101831119</v>
      </c>
      <c r="AJ5" s="91">
        <f t="shared" si="12"/>
        <v>5.2849500000000003</v>
      </c>
      <c r="AK5" s="91">
        <f t="shared" si="12"/>
        <v>2.0315833333333333</v>
      </c>
      <c r="AL5" s="173">
        <v>20000</v>
      </c>
      <c r="AM5" s="173">
        <v>12000</v>
      </c>
      <c r="AN5" s="250">
        <v>8511</v>
      </c>
      <c r="AO5" s="215">
        <v>9</v>
      </c>
      <c r="AP5" s="215">
        <v>3</v>
      </c>
      <c r="AQ5" s="188">
        <v>45124</v>
      </c>
      <c r="AR5" s="7" t="s">
        <v>299</v>
      </c>
      <c r="AS5" s="7" t="s">
        <v>300</v>
      </c>
      <c r="AT5" s="35"/>
    </row>
    <row r="6" spans="1:46" x14ac:dyDescent="0.25">
      <c r="B6" s="214" t="s">
        <v>155</v>
      </c>
      <c r="C6" s="174" t="s">
        <v>222</v>
      </c>
      <c r="D6" s="38" t="s">
        <v>118</v>
      </c>
      <c r="E6" s="219" t="s">
        <v>138</v>
      </c>
      <c r="F6" s="38" t="s">
        <v>230</v>
      </c>
      <c r="G6" s="38" t="s">
        <v>120</v>
      </c>
      <c r="H6" s="80">
        <v>43648</v>
      </c>
      <c r="I6" s="181">
        <f t="shared" si="0"/>
        <v>90</v>
      </c>
      <c r="J6" s="183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0">
        <v>44927</v>
      </c>
      <c r="T6" s="244">
        <v>233707</v>
      </c>
      <c r="U6" s="245"/>
      <c r="V6" s="115">
        <v>45095.00167824074</v>
      </c>
      <c r="W6" s="246">
        <v>251767</v>
      </c>
      <c r="X6" s="169"/>
      <c r="Y6" s="126">
        <f t="shared" si="2"/>
        <v>5.5227376147514837</v>
      </c>
      <c r="Z6" s="30">
        <f t="shared" si="3"/>
        <v>18060</v>
      </c>
      <c r="AA6" s="30">
        <f t="shared" si="3"/>
        <v>0</v>
      </c>
      <c r="AB6" s="85">
        <f t="shared" si="4"/>
        <v>3270.1173330706347</v>
      </c>
      <c r="AC6" s="85">
        <f t="shared" si="5"/>
        <v>0</v>
      </c>
      <c r="AD6" s="32">
        <f t="shared" si="6"/>
        <v>-1729.8826669293653</v>
      </c>
      <c r="AE6" s="32">
        <f t="shared" si="7"/>
        <v>0</v>
      </c>
      <c r="AF6" s="94">
        <f t="shared" si="8"/>
        <v>-9553.6880737574193</v>
      </c>
      <c r="AG6" s="94">
        <f t="shared" si="9"/>
        <v>0</v>
      </c>
      <c r="AH6" s="86">
        <f t="shared" si="10"/>
        <v>-95.536880737574194</v>
      </c>
      <c r="AI6" s="86">
        <f t="shared" si="11"/>
        <v>0</v>
      </c>
      <c r="AJ6" s="91">
        <f t="shared" si="12"/>
        <v>7.1933428571428575</v>
      </c>
      <c r="AK6" s="167"/>
      <c r="AL6" s="173">
        <v>35000</v>
      </c>
      <c r="AM6" s="251"/>
      <c r="AN6" s="250">
        <v>7513</v>
      </c>
      <c r="AO6" s="215">
        <v>5</v>
      </c>
      <c r="AP6" s="167"/>
      <c r="AQ6" s="188">
        <v>45124</v>
      </c>
      <c r="AR6" s="7" t="s">
        <v>301</v>
      </c>
      <c r="AS6" s="53" t="s">
        <v>302</v>
      </c>
      <c r="AT6" s="35"/>
    </row>
    <row r="7" spans="1:46" x14ac:dyDescent="0.25">
      <c r="B7" s="214" t="s">
        <v>156</v>
      </c>
      <c r="C7" s="174" t="s">
        <v>222</v>
      </c>
      <c r="D7" s="38" t="s">
        <v>118</v>
      </c>
      <c r="E7" s="219" t="s">
        <v>138</v>
      </c>
      <c r="F7" s="38" t="s">
        <v>231</v>
      </c>
      <c r="G7" s="38" t="s">
        <v>121</v>
      </c>
      <c r="H7" s="80">
        <v>43648</v>
      </c>
      <c r="I7" s="181">
        <f t="shared" si="0"/>
        <v>90</v>
      </c>
      <c r="J7" s="183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0">
        <v>44927</v>
      </c>
      <c r="T7" s="244">
        <v>99415</v>
      </c>
      <c r="U7" s="245"/>
      <c r="V7" s="115">
        <v>45095.001701388886</v>
      </c>
      <c r="W7" s="246">
        <v>106324</v>
      </c>
      <c r="X7" s="169"/>
      <c r="Y7" s="126">
        <f t="shared" si="2"/>
        <v>5.5227383757030379</v>
      </c>
      <c r="Z7" s="30">
        <f t="shared" si="3"/>
        <v>6909</v>
      </c>
      <c r="AA7" s="30">
        <f t="shared" si="3"/>
        <v>0</v>
      </c>
      <c r="AB7" s="85">
        <f t="shared" si="4"/>
        <v>1251.0098306296272</v>
      </c>
      <c r="AC7" s="85">
        <f t="shared" si="5"/>
        <v>0</v>
      </c>
      <c r="AD7" s="32">
        <f t="shared" si="6"/>
        <v>-3748.9901693703728</v>
      </c>
      <c r="AE7" s="32">
        <f t="shared" si="7"/>
        <v>0</v>
      </c>
      <c r="AF7" s="94">
        <f t="shared" si="8"/>
        <v>-20704.69187851519</v>
      </c>
      <c r="AG7" s="94">
        <f t="shared" si="9"/>
        <v>0</v>
      </c>
      <c r="AH7" s="86">
        <f t="shared" si="10"/>
        <v>-207.04691878515192</v>
      </c>
      <c r="AI7" s="86">
        <f t="shared" si="11"/>
        <v>0</v>
      </c>
      <c r="AJ7" s="91">
        <f t="shared" si="12"/>
        <v>3.0378285714285713</v>
      </c>
      <c r="AK7" s="167"/>
      <c r="AL7" s="173">
        <v>35000</v>
      </c>
      <c r="AM7" s="251"/>
      <c r="AN7" s="250">
        <v>7513</v>
      </c>
      <c r="AO7" s="215">
        <v>3</v>
      </c>
      <c r="AP7" s="167"/>
      <c r="AQ7" s="188">
        <v>45124</v>
      </c>
      <c r="AR7" s="7" t="s">
        <v>303</v>
      </c>
      <c r="AS7" s="53" t="s">
        <v>302</v>
      </c>
      <c r="AT7" s="35"/>
    </row>
    <row r="8" spans="1:46" x14ac:dyDescent="0.25">
      <c r="B8" s="214" t="s">
        <v>153</v>
      </c>
      <c r="C8" s="174" t="s">
        <v>222</v>
      </c>
      <c r="D8" s="38" t="s">
        <v>125</v>
      </c>
      <c r="E8" s="219" t="s">
        <v>138</v>
      </c>
      <c r="F8" s="38" t="s">
        <v>233</v>
      </c>
      <c r="G8" s="38" t="s">
        <v>187</v>
      </c>
      <c r="H8" s="80">
        <v>44484</v>
      </c>
      <c r="I8" s="181">
        <f t="shared" si="0"/>
        <v>49</v>
      </c>
      <c r="J8" s="183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0">
        <v>44933</v>
      </c>
      <c r="T8" s="244">
        <v>19451</v>
      </c>
      <c r="U8" s="245"/>
      <c r="V8" s="115">
        <v>45094.042627314811</v>
      </c>
      <c r="W8" s="246">
        <v>26514</v>
      </c>
      <c r="X8" s="169"/>
      <c r="Y8" s="126">
        <f t="shared" si="2"/>
        <v>5.2939719695861731</v>
      </c>
      <c r="Z8" s="30">
        <f t="shared" si="3"/>
        <v>7063</v>
      </c>
      <c r="AA8" s="30">
        <f t="shared" si="3"/>
        <v>0</v>
      </c>
      <c r="AB8" s="85">
        <f t="shared" si="4"/>
        <v>1334.1589340814191</v>
      </c>
      <c r="AC8" s="85">
        <f t="shared" si="5"/>
        <v>0</v>
      </c>
      <c r="AD8" s="32">
        <f t="shared" si="6"/>
        <v>-665.84106591858085</v>
      </c>
      <c r="AE8" s="32">
        <f t="shared" si="7"/>
        <v>0</v>
      </c>
      <c r="AF8" s="94">
        <f t="shared" si="8"/>
        <v>-3524.9439391723463</v>
      </c>
      <c r="AG8" s="94">
        <f t="shared" si="9"/>
        <v>0</v>
      </c>
      <c r="AH8" s="86">
        <f t="shared" si="10"/>
        <v>-35.249439391723463</v>
      </c>
      <c r="AI8" s="86">
        <f t="shared" si="11"/>
        <v>0</v>
      </c>
      <c r="AJ8" s="91">
        <f t="shared" si="12"/>
        <v>0.88380000000000003</v>
      </c>
      <c r="AK8" s="167"/>
      <c r="AL8" s="173">
        <v>30000</v>
      </c>
      <c r="AM8" s="251"/>
      <c r="AN8" s="250">
        <v>3012</v>
      </c>
      <c r="AO8" s="215">
        <v>2</v>
      </c>
      <c r="AP8" s="167"/>
      <c r="AQ8" s="188">
        <v>45124</v>
      </c>
      <c r="AR8" s="7" t="s">
        <v>304</v>
      </c>
      <c r="AS8" s="7" t="s">
        <v>305</v>
      </c>
      <c r="AT8" s="35"/>
    </row>
    <row r="9" spans="1:46" x14ac:dyDescent="0.25">
      <c r="B9" s="214" t="s">
        <v>157</v>
      </c>
      <c r="C9" s="174" t="s">
        <v>147</v>
      </c>
      <c r="D9" s="38" t="s">
        <v>148</v>
      </c>
      <c r="E9" s="218"/>
      <c r="F9" s="38" t="s">
        <v>234</v>
      </c>
      <c r="G9" s="38"/>
      <c r="H9" s="80">
        <v>44229</v>
      </c>
      <c r="I9" s="181">
        <f t="shared" si="0"/>
        <v>129.66666666666666</v>
      </c>
      <c r="J9" s="183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268">
        <v>0.01</v>
      </c>
      <c r="Q9" s="103">
        <v>500</v>
      </c>
      <c r="R9" s="173">
        <v>0.09</v>
      </c>
      <c r="S9" s="190">
        <v>44927</v>
      </c>
      <c r="T9" s="244">
        <v>78731</v>
      </c>
      <c r="U9" s="244">
        <v>22266</v>
      </c>
      <c r="V9" s="115">
        <v>45078.000497685185</v>
      </c>
      <c r="W9" s="246">
        <v>93640</v>
      </c>
      <c r="X9" s="246">
        <v>28444</v>
      </c>
      <c r="Y9" s="126">
        <f t="shared" si="2"/>
        <v>4.9638559396839286</v>
      </c>
      <c r="Z9" s="30">
        <f t="shared" si="3"/>
        <v>14909</v>
      </c>
      <c r="AA9" s="30">
        <f t="shared" si="3"/>
        <v>6178</v>
      </c>
      <c r="AB9" s="85">
        <f t="shared" si="4"/>
        <v>3003.5118224944545</v>
      </c>
      <c r="AC9" s="85">
        <f t="shared" si="5"/>
        <v>1244.5969575002173</v>
      </c>
      <c r="AD9" s="32">
        <f t="shared" si="6"/>
        <v>1336.8451558277877</v>
      </c>
      <c r="AE9" s="32">
        <f t="shared" si="7"/>
        <v>1077.9302908335505</v>
      </c>
      <c r="AF9" s="94">
        <f t="shared" si="8"/>
        <v>6635.9067671934508</v>
      </c>
      <c r="AG9" s="94">
        <f t="shared" si="9"/>
        <v>5350.6906767193441</v>
      </c>
      <c r="AH9" s="86">
        <f t="shared" si="10"/>
        <v>66.359067671934511</v>
      </c>
      <c r="AI9" s="86">
        <f t="shared" si="11"/>
        <v>481.56216090474095</v>
      </c>
      <c r="AJ9" s="91">
        <f t="shared" si="12"/>
        <v>3.1213333333333333</v>
      </c>
      <c r="AK9" s="91">
        <f>X9/AM9</f>
        <v>1.4221999999999999</v>
      </c>
      <c r="AL9" s="173">
        <v>30000</v>
      </c>
      <c r="AM9" s="173">
        <v>20000</v>
      </c>
      <c r="AN9" s="250">
        <v>8514</v>
      </c>
      <c r="AO9" s="215">
        <v>8</v>
      </c>
      <c r="AP9" s="215">
        <v>1</v>
      </c>
      <c r="AQ9" s="188">
        <v>45124</v>
      </c>
      <c r="AR9" s="7" t="s">
        <v>306</v>
      </c>
      <c r="AS9" s="53" t="s">
        <v>268</v>
      </c>
      <c r="AT9" s="35"/>
    </row>
    <row r="10" spans="1:46" x14ac:dyDescent="0.25">
      <c r="B10" s="214" t="s">
        <v>158</v>
      </c>
      <c r="C10" s="174" t="s">
        <v>80</v>
      </c>
      <c r="D10" s="38" t="s">
        <v>13</v>
      </c>
      <c r="E10" s="218"/>
      <c r="F10" s="38" t="s">
        <v>235</v>
      </c>
      <c r="G10" s="38"/>
      <c r="H10" s="80">
        <v>43340</v>
      </c>
      <c r="I10" s="181">
        <f t="shared" si="0"/>
        <v>66.666666666666671</v>
      </c>
      <c r="J10" s="183">
        <f t="shared" si="1"/>
        <v>6.6666666666666666E-2</v>
      </c>
      <c r="K10" s="99">
        <v>45199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0">
        <v>44928</v>
      </c>
      <c r="T10" s="244">
        <v>112125</v>
      </c>
      <c r="U10" s="244">
        <v>19206</v>
      </c>
      <c r="V10" s="115">
        <v>45096.289687500001</v>
      </c>
      <c r="W10" s="246">
        <v>126512</v>
      </c>
      <c r="X10" s="246">
        <v>19285</v>
      </c>
      <c r="Y10" s="126">
        <f t="shared" si="2"/>
        <v>5.5322053747534703</v>
      </c>
      <c r="Z10" s="30">
        <f t="shared" si="3"/>
        <v>14387</v>
      </c>
      <c r="AA10" s="30">
        <f t="shared" si="3"/>
        <v>79</v>
      </c>
      <c r="AB10" s="85">
        <f t="shared" si="4"/>
        <v>2600.5903659426458</v>
      </c>
      <c r="AC10" s="85">
        <f t="shared" si="5"/>
        <v>14.280019386214571</v>
      </c>
      <c r="AD10" s="32">
        <f t="shared" si="6"/>
        <v>1600.5903659426458</v>
      </c>
      <c r="AE10" s="32">
        <f t="shared" si="7"/>
        <v>-85.719980613785424</v>
      </c>
      <c r="AF10" s="94">
        <f t="shared" si="8"/>
        <v>8854.7946252465281</v>
      </c>
      <c r="AG10" s="94">
        <f t="shared" si="9"/>
        <v>-474.22053747534699</v>
      </c>
      <c r="AH10" s="86">
        <f t="shared" si="10"/>
        <v>88.54794625246528</v>
      </c>
      <c r="AI10" s="86">
        <f t="shared" si="11"/>
        <v>-37.937642998027762</v>
      </c>
      <c r="AJ10" s="91">
        <f t="shared" si="12"/>
        <v>6.3255999999999997</v>
      </c>
      <c r="AK10" s="91">
        <f>X10/AM10</f>
        <v>1.6070833333333334</v>
      </c>
      <c r="AL10" s="173">
        <v>20000</v>
      </c>
      <c r="AM10" s="173">
        <v>12000</v>
      </c>
      <c r="AN10" s="250">
        <v>8511</v>
      </c>
      <c r="AO10" s="215">
        <v>7</v>
      </c>
      <c r="AP10" s="215">
        <v>3</v>
      </c>
      <c r="AQ10" s="188">
        <v>45124</v>
      </c>
      <c r="AR10" s="7" t="s">
        <v>307</v>
      </c>
      <c r="AS10" s="53" t="s">
        <v>268</v>
      </c>
      <c r="AT10" s="35"/>
    </row>
    <row r="11" spans="1:46" x14ac:dyDescent="0.25">
      <c r="B11" s="214" t="s">
        <v>176</v>
      </c>
      <c r="C11" s="174" t="s">
        <v>80</v>
      </c>
      <c r="D11" s="38" t="s">
        <v>124</v>
      </c>
      <c r="E11" s="218"/>
      <c r="F11" s="38" t="s">
        <v>236</v>
      </c>
      <c r="G11" s="38"/>
      <c r="H11" s="80">
        <v>44011</v>
      </c>
      <c r="I11" s="181">
        <f t="shared" si="0"/>
        <v>66.666666666666671</v>
      </c>
      <c r="J11" s="183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0">
        <v>44927</v>
      </c>
      <c r="T11" s="244">
        <v>26125</v>
      </c>
      <c r="U11" s="244">
        <v>4401</v>
      </c>
      <c r="V11" s="115">
        <v>45096.594131944446</v>
      </c>
      <c r="W11" s="246">
        <v>29777</v>
      </c>
      <c r="X11" s="246">
        <v>4686</v>
      </c>
      <c r="Y11" s="126">
        <f t="shared" si="2"/>
        <v>5.5750865201987638</v>
      </c>
      <c r="Z11" s="30">
        <f t="shared" si="3"/>
        <v>3652</v>
      </c>
      <c r="AA11" s="30">
        <f t="shared" si="3"/>
        <v>285</v>
      </c>
      <c r="AB11" s="85">
        <f t="shared" si="4"/>
        <v>655.05709853446331</v>
      </c>
      <c r="AC11" s="85">
        <f t="shared" si="5"/>
        <v>51.120282881249196</v>
      </c>
      <c r="AD11" s="32">
        <f t="shared" si="6"/>
        <v>-344.94290146553669</v>
      </c>
      <c r="AE11" s="32">
        <f t="shared" si="7"/>
        <v>-48.879717118750804</v>
      </c>
      <c r="AF11" s="94">
        <f t="shared" si="8"/>
        <v>-1923.086520198764</v>
      </c>
      <c r="AG11" s="94">
        <f t="shared" si="9"/>
        <v>-272.50865201987637</v>
      </c>
      <c r="AH11" s="86">
        <f t="shared" si="10"/>
        <v>-19.23086520198764</v>
      </c>
      <c r="AI11" s="86">
        <f t="shared" si="11"/>
        <v>-21.80069216159011</v>
      </c>
      <c r="AJ11" s="91">
        <f t="shared" si="12"/>
        <v>1.48885</v>
      </c>
      <c r="AK11" s="91">
        <f>X11/AM11</f>
        <v>0.39050000000000001</v>
      </c>
      <c r="AL11" s="173">
        <v>20000</v>
      </c>
      <c r="AM11" s="173">
        <v>12000</v>
      </c>
      <c r="AN11" s="250">
        <v>8511</v>
      </c>
      <c r="AO11" s="215">
        <v>5</v>
      </c>
      <c r="AP11" s="215">
        <v>1</v>
      </c>
      <c r="AQ11" s="188">
        <v>45124</v>
      </c>
      <c r="AR11" s="7" t="s">
        <v>308</v>
      </c>
      <c r="AS11">
        <v>0</v>
      </c>
      <c r="AT11" s="35"/>
    </row>
    <row r="12" spans="1:46" x14ac:dyDescent="0.25">
      <c r="B12" s="7" t="s">
        <v>203</v>
      </c>
      <c r="C12" s="174" t="s">
        <v>200</v>
      </c>
      <c r="D12" s="38" t="s">
        <v>194</v>
      </c>
      <c r="E12" s="218"/>
      <c r="F12" s="38" t="s">
        <v>238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0">
        <v>44918</v>
      </c>
      <c r="T12" s="244">
        <v>18120</v>
      </c>
      <c r="U12" s="244">
        <v>7733</v>
      </c>
      <c r="V12" s="115">
        <v>45097.47861111111</v>
      </c>
      <c r="W12" s="246">
        <v>37487</v>
      </c>
      <c r="X12" s="246">
        <v>13307</v>
      </c>
      <c r="Y12" s="126">
        <f t="shared" si="2"/>
        <v>5.9000200891226093</v>
      </c>
      <c r="Z12" s="30">
        <f t="shared" si="3"/>
        <v>19367</v>
      </c>
      <c r="AA12" s="30">
        <f t="shared" si="3"/>
        <v>5574</v>
      </c>
      <c r="AB12" s="85">
        <f t="shared" si="4"/>
        <v>3282.531196072599</v>
      </c>
      <c r="AC12" s="85">
        <f t="shared" si="5"/>
        <v>944.74254592392549</v>
      </c>
      <c r="AD12" s="32">
        <f t="shared" si="6"/>
        <v>1615.8645294059322</v>
      </c>
      <c r="AE12" s="32">
        <f t="shared" si="7"/>
        <v>778.07587925725886</v>
      </c>
      <c r="AF12" s="94">
        <f t="shared" si="8"/>
        <v>9533.6331847956517</v>
      </c>
      <c r="AG12" s="94">
        <f t="shared" si="9"/>
        <v>4590.6633184795646</v>
      </c>
      <c r="AH12" s="86">
        <f t="shared" si="10"/>
        <v>95.336331847956515</v>
      </c>
      <c r="AI12" s="86">
        <f t="shared" si="11"/>
        <v>367.25306547836516</v>
      </c>
      <c r="AJ12" s="91">
        <f t="shared" si="12"/>
        <v>1.87435</v>
      </c>
      <c r="AK12" s="91">
        <f>X12/AM12</f>
        <v>1.1089166666666668</v>
      </c>
      <c r="AL12" s="173">
        <v>20000</v>
      </c>
      <c r="AM12" s="173">
        <v>12000</v>
      </c>
      <c r="AN12" s="250">
        <v>8531</v>
      </c>
      <c r="AO12" s="215">
        <v>4</v>
      </c>
      <c r="AP12" s="215">
        <v>1</v>
      </c>
      <c r="AQ12" s="188">
        <v>45124</v>
      </c>
      <c r="AR12" s="7" t="s">
        <v>309</v>
      </c>
      <c r="AS12" s="53" t="s">
        <v>310</v>
      </c>
      <c r="AT12" s="35"/>
    </row>
    <row r="13" spans="1:46" x14ac:dyDescent="0.25">
      <c r="B13" s="7" t="s">
        <v>204</v>
      </c>
      <c r="C13" s="174" t="s">
        <v>200</v>
      </c>
      <c r="D13" s="194" t="s">
        <v>211</v>
      </c>
      <c r="E13" s="218"/>
      <c r="F13" s="38" t="s">
        <v>202</v>
      </c>
      <c r="G13" s="38"/>
      <c r="H13" s="80">
        <v>44729</v>
      </c>
      <c r="I13" s="181">
        <f>IF(M13="",N13/L13,M13)</f>
        <v>0</v>
      </c>
      <c r="J13" s="183" t="e">
        <f>I13/(O13/L13)</f>
        <v>#DIV/0!</v>
      </c>
      <c r="K13" s="80" t="s">
        <v>208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0">
        <v>44928</v>
      </c>
      <c r="T13" s="244">
        <v>125223</v>
      </c>
      <c r="U13" s="244">
        <v>79412</v>
      </c>
      <c r="V13" s="193">
        <v>45078.700601851851</v>
      </c>
      <c r="W13" s="247">
        <v>127663</v>
      </c>
      <c r="X13" s="247">
        <v>82149</v>
      </c>
      <c r="Y13" s="126">
        <f t="shared" si="2"/>
        <v>4.9539974310273305</v>
      </c>
      <c r="Z13" s="30">
        <f t="shared" si="3"/>
        <v>2440</v>
      </c>
      <c r="AA13" s="30">
        <f t="shared" si="3"/>
        <v>2737</v>
      </c>
      <c r="AB13" s="85">
        <f t="shared" si="4"/>
        <v>492.53154325798818</v>
      </c>
      <c r="AC13" s="85">
        <f t="shared" si="5"/>
        <v>552.48312864635807</v>
      </c>
      <c r="AD13" s="32">
        <f t="shared" si="6"/>
        <v>492.53154325798818</v>
      </c>
      <c r="AE13" s="32">
        <f t="shared" si="7"/>
        <v>552.48312864635807</v>
      </c>
      <c r="AF13" s="94">
        <f t="shared" si="8"/>
        <v>2440</v>
      </c>
      <c r="AG13" s="94">
        <f t="shared" si="9"/>
        <v>2737</v>
      </c>
      <c r="AH13" s="86">
        <f t="shared" si="10"/>
        <v>24.400000000000002</v>
      </c>
      <c r="AI13" s="86">
        <f t="shared" si="11"/>
        <v>218.96</v>
      </c>
      <c r="AJ13" s="243">
        <f>Z13/AL13</f>
        <v>0.122</v>
      </c>
      <c r="AK13" s="243">
        <f>AA13/AM13</f>
        <v>0.22808333333333333</v>
      </c>
      <c r="AL13" s="173">
        <v>20000</v>
      </c>
      <c r="AM13" s="173">
        <v>12000</v>
      </c>
      <c r="AN13" s="250">
        <v>8511</v>
      </c>
      <c r="AO13" s="215">
        <v>3</v>
      </c>
      <c r="AP13" s="215">
        <v>1</v>
      </c>
      <c r="AQ13" s="188">
        <v>45124</v>
      </c>
      <c r="AR13" s="7" t="s">
        <v>311</v>
      </c>
      <c r="AS13" s="179" t="s">
        <v>239</v>
      </c>
      <c r="AT13" s="196"/>
    </row>
    <row r="14" spans="1:46" x14ac:dyDescent="0.25">
      <c r="B14" s="7" t="s">
        <v>294</v>
      </c>
      <c r="C14" s="174" t="s">
        <v>292</v>
      </c>
      <c r="D14" s="38" t="s">
        <v>194</v>
      </c>
      <c r="E14" s="218"/>
      <c r="F14" s="38" t="s">
        <v>293</v>
      </c>
      <c r="G14" s="38"/>
      <c r="H14" s="80">
        <v>45069</v>
      </c>
      <c r="I14" s="181"/>
      <c r="J14" s="183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190">
        <v>45069</v>
      </c>
      <c r="T14" s="244">
        <v>0</v>
      </c>
      <c r="U14" s="244">
        <v>0</v>
      </c>
      <c r="V14" s="115">
        <v>45097.084999999999</v>
      </c>
      <c r="W14" s="246">
        <v>3881</v>
      </c>
      <c r="X14" s="246">
        <v>84</v>
      </c>
      <c r="Y14" s="126">
        <f t="shared" si="2"/>
        <v>0.92324128862587529</v>
      </c>
      <c r="Z14" s="30">
        <f t="shared" si="3"/>
        <v>3881</v>
      </c>
      <c r="AA14" s="30">
        <f t="shared" si="3"/>
        <v>84</v>
      </c>
      <c r="AB14" s="85">
        <f t="shared" si="4"/>
        <v>4203.668150258276</v>
      </c>
      <c r="AC14" s="85">
        <f t="shared" si="5"/>
        <v>90.983799181060334</v>
      </c>
      <c r="AD14" s="32">
        <f t="shared" si="6"/>
        <v>2537.668150258276</v>
      </c>
      <c r="AE14" s="32">
        <f t="shared" si="7"/>
        <v>-75.016200818939666</v>
      </c>
      <c r="AF14" s="94">
        <f t="shared" si="8"/>
        <v>2342.8800131492922</v>
      </c>
      <c r="AG14" s="94">
        <f t="shared" si="9"/>
        <v>-69.258053911895303</v>
      </c>
      <c r="AH14" s="86">
        <f t="shared" si="10"/>
        <v>23.42880013149292</v>
      </c>
      <c r="AI14" s="86">
        <f t="shared" si="11"/>
        <v>-5.5406443129516241</v>
      </c>
      <c r="AJ14" s="91">
        <f t="shared" ref="AJ14:AK29" si="13">W14/AL14</f>
        <v>0.19405</v>
      </c>
      <c r="AK14" s="91">
        <f t="shared" si="13"/>
        <v>7.0000000000000001E-3</v>
      </c>
      <c r="AL14" s="173">
        <v>20000</v>
      </c>
      <c r="AM14" s="173">
        <v>12000</v>
      </c>
      <c r="AN14" s="250">
        <v>8531</v>
      </c>
      <c r="AO14" s="215">
        <v>2</v>
      </c>
      <c r="AP14" s="215">
        <v>1</v>
      </c>
      <c r="AQ14" s="188">
        <v>45124</v>
      </c>
      <c r="AR14" s="7" t="s">
        <v>312</v>
      </c>
      <c r="AS14">
        <v>0</v>
      </c>
      <c r="AT14" s="35"/>
    </row>
    <row r="15" spans="1:46" x14ac:dyDescent="0.25">
      <c r="B15" s="214" t="s">
        <v>160</v>
      </c>
      <c r="C15" s="174" t="s">
        <v>144</v>
      </c>
      <c r="D15" s="38" t="s">
        <v>124</v>
      </c>
      <c r="E15" s="218"/>
      <c r="F15" s="38" t="s">
        <v>240</v>
      </c>
      <c r="G15" s="38"/>
      <c r="H15" s="80">
        <v>44098</v>
      </c>
      <c r="I15" s="181">
        <f>IF(M15="",N15/L15,M15)</f>
        <v>66.666666666666671</v>
      </c>
      <c r="J15" s="183">
        <f>I15/(O15/L15)</f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0">
        <v>44928</v>
      </c>
      <c r="T15" s="244">
        <v>22097</v>
      </c>
      <c r="U15" s="244">
        <v>14192</v>
      </c>
      <c r="V15" s="115">
        <v>45096.253842592596</v>
      </c>
      <c r="W15" s="246">
        <v>26967</v>
      </c>
      <c r="X15" s="246">
        <v>17248</v>
      </c>
      <c r="Y15" s="126">
        <f t="shared" si="2"/>
        <v>5.5310270411767224</v>
      </c>
      <c r="Z15" s="30">
        <f t="shared" si="3"/>
        <v>4870</v>
      </c>
      <c r="AA15" s="30">
        <f t="shared" si="3"/>
        <v>3056</v>
      </c>
      <c r="AB15" s="85">
        <f t="shared" si="4"/>
        <v>880.48746891751057</v>
      </c>
      <c r="AC15" s="85">
        <f t="shared" si="5"/>
        <v>552.51944661435573</v>
      </c>
      <c r="AD15" s="32">
        <f t="shared" si="6"/>
        <v>-119.51253108248943</v>
      </c>
      <c r="AE15" s="32">
        <f t="shared" si="7"/>
        <v>452.51944661435573</v>
      </c>
      <c r="AF15" s="94">
        <f t="shared" si="8"/>
        <v>-661.02704117672261</v>
      </c>
      <c r="AG15" s="94">
        <f t="shared" si="9"/>
        <v>2502.8972958823279</v>
      </c>
      <c r="AH15" s="86">
        <f t="shared" si="10"/>
        <v>-6.6102704117672264</v>
      </c>
      <c r="AI15" s="86">
        <f t="shared" si="11"/>
        <v>200.23178367058622</v>
      </c>
      <c r="AJ15" s="91">
        <f t="shared" si="13"/>
        <v>1.3483499999999999</v>
      </c>
      <c r="AK15" s="91">
        <f t="shared" si="13"/>
        <v>1.4373333333333334</v>
      </c>
      <c r="AL15" s="173">
        <v>20000</v>
      </c>
      <c r="AM15" s="173">
        <v>12000</v>
      </c>
      <c r="AN15" s="250">
        <v>8511</v>
      </c>
      <c r="AO15" s="215">
        <v>4</v>
      </c>
      <c r="AP15" s="215">
        <v>2</v>
      </c>
      <c r="AQ15" s="188">
        <v>45124</v>
      </c>
      <c r="AR15" s="7" t="s">
        <v>313</v>
      </c>
      <c r="AS15" s="269">
        <v>0</v>
      </c>
      <c r="AT15" s="35"/>
    </row>
    <row r="16" spans="1:46" x14ac:dyDescent="0.25">
      <c r="B16" s="214" t="s">
        <v>161</v>
      </c>
      <c r="C16" s="174" t="s">
        <v>126</v>
      </c>
      <c r="D16" s="38" t="s">
        <v>124</v>
      </c>
      <c r="E16" s="218"/>
      <c r="F16" s="38" t="s">
        <v>241</v>
      </c>
      <c r="G16" s="38"/>
      <c r="H16" s="80">
        <v>43864</v>
      </c>
      <c r="I16" s="181">
        <f>IF(M16="",N16/L16,M16)</f>
        <v>66.666666666666671</v>
      </c>
      <c r="J16" s="183">
        <f>I16/(O16/L16)</f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0">
        <v>44927</v>
      </c>
      <c r="T16" s="244">
        <v>25308</v>
      </c>
      <c r="U16" s="244">
        <v>15057</v>
      </c>
      <c r="V16" s="115">
        <v>45097.329027777778</v>
      </c>
      <c r="W16" s="246">
        <v>36682</v>
      </c>
      <c r="X16" s="246">
        <v>20403</v>
      </c>
      <c r="Y16" s="126">
        <f t="shared" si="2"/>
        <v>5.5992448316166277</v>
      </c>
      <c r="Z16" s="30">
        <f t="shared" si="3"/>
        <v>11374</v>
      </c>
      <c r="AA16" s="30">
        <f t="shared" si="3"/>
        <v>5346</v>
      </c>
      <c r="AB16" s="85">
        <f t="shared" si="4"/>
        <v>2031.3453585340135</v>
      </c>
      <c r="AC16" s="85">
        <f t="shared" si="5"/>
        <v>954.7716095237239</v>
      </c>
      <c r="AD16" s="32">
        <f t="shared" si="6"/>
        <v>1031.3453585340135</v>
      </c>
      <c r="AE16" s="32">
        <f t="shared" si="7"/>
        <v>854.7716095237239</v>
      </c>
      <c r="AF16" s="94">
        <f t="shared" si="8"/>
        <v>5774.7551683833726</v>
      </c>
      <c r="AG16" s="94">
        <f t="shared" si="9"/>
        <v>4786.0755168383375</v>
      </c>
      <c r="AH16" s="86">
        <f t="shared" si="10"/>
        <v>57.747551683833727</v>
      </c>
      <c r="AI16" s="86">
        <f t="shared" si="11"/>
        <v>382.88604134706702</v>
      </c>
      <c r="AJ16" s="91">
        <f t="shared" si="13"/>
        <v>1.8341000000000001</v>
      </c>
      <c r="AK16" s="91">
        <f t="shared" si="13"/>
        <v>1.70025</v>
      </c>
      <c r="AL16" s="173">
        <v>20000</v>
      </c>
      <c r="AM16" s="173">
        <v>12000</v>
      </c>
      <c r="AN16" s="250">
        <v>8511</v>
      </c>
      <c r="AO16" s="215">
        <v>4</v>
      </c>
      <c r="AP16" s="215">
        <v>2</v>
      </c>
      <c r="AQ16" s="188">
        <v>45124</v>
      </c>
      <c r="AR16" s="7" t="s">
        <v>314</v>
      </c>
      <c r="AS16" s="53" t="s">
        <v>268</v>
      </c>
      <c r="AT16" s="35"/>
    </row>
    <row r="17" spans="2:47" x14ac:dyDescent="0.25">
      <c r="B17" s="214" t="s">
        <v>183</v>
      </c>
      <c r="C17" s="174" t="s">
        <v>182</v>
      </c>
      <c r="D17" s="38" t="s">
        <v>125</v>
      </c>
      <c r="E17" s="219" t="s">
        <v>138</v>
      </c>
      <c r="F17" s="38" t="s">
        <v>242</v>
      </c>
      <c r="G17" s="172"/>
      <c r="H17" s="80">
        <v>44253</v>
      </c>
      <c r="I17" s="181">
        <f>IF(M17="",N17/L17,M17)</f>
        <v>39</v>
      </c>
      <c r="J17" s="183">
        <f>I17/(O17/L17)</f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0">
        <v>44926</v>
      </c>
      <c r="T17" s="244">
        <v>36703</v>
      </c>
      <c r="U17" s="245"/>
      <c r="V17" s="115">
        <v>45077.995775462965</v>
      </c>
      <c r="W17" s="246">
        <v>48055</v>
      </c>
      <c r="X17" s="169"/>
      <c r="Y17" s="126">
        <f t="shared" si="2"/>
        <v>4.9965738153505903</v>
      </c>
      <c r="Z17" s="30">
        <f t="shared" si="3"/>
        <v>11352</v>
      </c>
      <c r="AA17" s="30">
        <f t="shared" si="3"/>
        <v>0</v>
      </c>
      <c r="AB17" s="85">
        <f t="shared" si="4"/>
        <v>2271.9568287221377</v>
      </c>
      <c r="AC17" s="85">
        <f t="shared" si="5"/>
        <v>0</v>
      </c>
      <c r="AD17" s="32">
        <f t="shared" si="6"/>
        <v>1271.9568287221377</v>
      </c>
      <c r="AE17" s="32">
        <f t="shared" si="7"/>
        <v>0</v>
      </c>
      <c r="AF17" s="94">
        <f t="shared" si="8"/>
        <v>6355.4261846494092</v>
      </c>
      <c r="AG17" s="94">
        <f t="shared" si="9"/>
        <v>0</v>
      </c>
      <c r="AH17" s="86">
        <f t="shared" si="10"/>
        <v>63.554261846494093</v>
      </c>
      <c r="AI17" s="86">
        <f t="shared" si="11"/>
        <v>0</v>
      </c>
      <c r="AJ17" s="91">
        <f t="shared" si="13"/>
        <v>1.6018333333333334</v>
      </c>
      <c r="AK17" s="165"/>
      <c r="AL17" s="173">
        <v>30000</v>
      </c>
      <c r="AM17" s="251"/>
      <c r="AN17" s="250">
        <v>3012</v>
      </c>
      <c r="AO17" s="215">
        <v>4</v>
      </c>
      <c r="AP17" s="165"/>
      <c r="AQ17" s="188">
        <v>45124</v>
      </c>
      <c r="AR17" s="7" t="s">
        <v>315</v>
      </c>
      <c r="AS17" s="53" t="s">
        <v>310</v>
      </c>
      <c r="AT17" s="35"/>
    </row>
    <row r="18" spans="2:47" x14ac:dyDescent="0.25">
      <c r="B18" s="214" t="s">
        <v>162</v>
      </c>
      <c r="C18" s="174" t="s">
        <v>48</v>
      </c>
      <c r="D18" s="38" t="s">
        <v>124</v>
      </c>
      <c r="E18" s="218"/>
      <c r="F18" s="38" t="s">
        <v>243</v>
      </c>
      <c r="G18" s="38"/>
      <c r="H18" s="80">
        <v>44013</v>
      </c>
      <c r="I18" s="181">
        <f>IF(M18="",N18/L18,M18)</f>
        <v>66.666666666666671</v>
      </c>
      <c r="J18" s="183">
        <f>I18/(O18/L18)</f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0">
        <v>44929</v>
      </c>
      <c r="T18" s="244">
        <v>59203</v>
      </c>
      <c r="U18" s="244">
        <v>4508</v>
      </c>
      <c r="V18" s="115">
        <v>45098.513622685183</v>
      </c>
      <c r="W18" s="246">
        <v>68109</v>
      </c>
      <c r="X18" s="246">
        <v>5169</v>
      </c>
      <c r="Y18" s="126">
        <f t="shared" si="2"/>
        <v>5.5724399304793808</v>
      </c>
      <c r="Z18" s="30">
        <f t="shared" si="3"/>
        <v>8906</v>
      </c>
      <c r="AA18" s="30">
        <f t="shared" si="3"/>
        <v>661</v>
      </c>
      <c r="AB18" s="85">
        <f t="shared" si="4"/>
        <v>1598.222701565101</v>
      </c>
      <c r="AC18" s="85">
        <f t="shared" si="5"/>
        <v>118.61949312087714</v>
      </c>
      <c r="AD18" s="32">
        <f t="shared" si="6"/>
        <v>598.22270156510103</v>
      </c>
      <c r="AE18" s="32">
        <f t="shared" si="7"/>
        <v>18.619493120877138</v>
      </c>
      <c r="AF18" s="94">
        <f t="shared" si="8"/>
        <v>3333.560069520619</v>
      </c>
      <c r="AG18" s="94">
        <f t="shared" si="9"/>
        <v>103.75600695206191</v>
      </c>
      <c r="AH18" s="86">
        <f t="shared" si="10"/>
        <v>33.335600695206189</v>
      </c>
      <c r="AI18" s="86">
        <f t="shared" si="11"/>
        <v>8.3004805561649526</v>
      </c>
      <c r="AJ18" s="91">
        <f t="shared" si="13"/>
        <v>3.4054500000000001</v>
      </c>
      <c r="AK18" s="91">
        <f t="shared" si="13"/>
        <v>0.43075000000000002</v>
      </c>
      <c r="AL18" s="173">
        <v>20000</v>
      </c>
      <c r="AM18" s="173">
        <v>12000</v>
      </c>
      <c r="AN18" s="250">
        <v>8511</v>
      </c>
      <c r="AO18" s="215">
        <v>9</v>
      </c>
      <c r="AP18" s="215">
        <v>2</v>
      </c>
      <c r="AQ18" s="188">
        <v>45124</v>
      </c>
      <c r="AR18" s="7" t="s">
        <v>316</v>
      </c>
      <c r="AS18" s="189">
        <v>0</v>
      </c>
      <c r="AT18" s="189"/>
      <c r="AU18" s="189"/>
    </row>
    <row r="19" spans="2:47" x14ac:dyDescent="0.25">
      <c r="B19" s="7" t="s">
        <v>317</v>
      </c>
      <c r="C19" s="174" t="s">
        <v>53</v>
      </c>
      <c r="D19" s="38" t="s">
        <v>194</v>
      </c>
      <c r="E19" s="218"/>
      <c r="F19" s="38" t="s">
        <v>318</v>
      </c>
      <c r="G19" s="38"/>
      <c r="H19" s="199">
        <v>45108</v>
      </c>
      <c r="I19" s="181"/>
      <c r="J19" s="183"/>
      <c r="K19" s="99">
        <v>46569</v>
      </c>
      <c r="L19" s="100">
        <v>3</v>
      </c>
      <c r="M19" s="101"/>
      <c r="N19" s="101">
        <v>390</v>
      </c>
      <c r="O19" s="267">
        <v>5000</v>
      </c>
      <c r="P19" s="268">
        <v>0.01</v>
      </c>
      <c r="Q19" s="103">
        <v>500</v>
      </c>
      <c r="R19" s="108">
        <v>0.08</v>
      </c>
      <c r="S19" s="264"/>
      <c r="T19" s="244">
        <v>0</v>
      </c>
      <c r="U19" s="244">
        <v>0</v>
      </c>
      <c r="V19" s="252"/>
      <c r="W19" s="266"/>
      <c r="X19" s="266"/>
      <c r="Y19" s="126">
        <f t="shared" si="2"/>
        <v>0</v>
      </c>
      <c r="Z19" s="30">
        <f t="shared" si="3"/>
        <v>0</v>
      </c>
      <c r="AA19" s="30">
        <f t="shared" si="3"/>
        <v>0</v>
      </c>
      <c r="AB19" s="85" t="e">
        <f t="shared" si="4"/>
        <v>#DIV/0!</v>
      </c>
      <c r="AC19" s="85" t="e">
        <f t="shared" si="5"/>
        <v>#DIV/0!</v>
      </c>
      <c r="AD19" s="32" t="e">
        <f t="shared" si="6"/>
        <v>#DIV/0!</v>
      </c>
      <c r="AE19" s="32" t="e">
        <f t="shared" si="7"/>
        <v>#DIV/0!</v>
      </c>
      <c r="AF19" s="94" t="e">
        <f t="shared" si="8"/>
        <v>#DIV/0!</v>
      </c>
      <c r="AG19" s="94" t="e">
        <f t="shared" si="9"/>
        <v>#DIV/0!</v>
      </c>
      <c r="AH19" s="86" t="e">
        <f t="shared" si="10"/>
        <v>#DIV/0!</v>
      </c>
      <c r="AI19" s="86" t="e">
        <f t="shared" si="11"/>
        <v>#DIV/0!</v>
      </c>
      <c r="AJ19" s="91">
        <f t="shared" si="13"/>
        <v>0</v>
      </c>
      <c r="AK19" s="91">
        <f t="shared" si="13"/>
        <v>0</v>
      </c>
      <c r="AL19" s="173">
        <v>20000</v>
      </c>
      <c r="AM19" s="173">
        <v>12000</v>
      </c>
      <c r="AN19" s="250">
        <v>8531</v>
      </c>
      <c r="AO19" s="215">
        <v>2</v>
      </c>
      <c r="AP19" s="215">
        <v>1</v>
      </c>
      <c r="AQ19" s="188">
        <v>45124</v>
      </c>
      <c r="AR19" s="7" t="s">
        <v>319</v>
      </c>
      <c r="AS19">
        <v>0</v>
      </c>
      <c r="AT19" s="35"/>
    </row>
    <row r="20" spans="2:47" x14ac:dyDescent="0.25">
      <c r="B20" s="214" t="s">
        <v>163</v>
      </c>
      <c r="C20" s="174" t="s">
        <v>51</v>
      </c>
      <c r="D20" s="38" t="s">
        <v>13</v>
      </c>
      <c r="E20" s="218"/>
      <c r="F20" s="38" t="s">
        <v>244</v>
      </c>
      <c r="G20" s="38"/>
      <c r="H20" s="80">
        <v>43251</v>
      </c>
      <c r="I20" s="181">
        <f t="shared" ref="I20:I38" si="14">IF(M20="",N20/L20,M20)</f>
        <v>66.666666666666671</v>
      </c>
      <c r="J20" s="183">
        <f t="shared" ref="J20:J38" si="15">I20/(O20/L20)</f>
        <v>6.6666666666666666E-2</v>
      </c>
      <c r="K20" s="99">
        <v>45291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0">
        <v>44929</v>
      </c>
      <c r="T20" s="244">
        <v>39417</v>
      </c>
      <c r="U20" s="244">
        <v>31040</v>
      </c>
      <c r="V20" s="115">
        <v>45098.361076388886</v>
      </c>
      <c r="W20" s="246">
        <v>42197</v>
      </c>
      <c r="X20" s="246">
        <v>35018</v>
      </c>
      <c r="Y20" s="126">
        <f t="shared" si="2"/>
        <v>5.5674252593322295</v>
      </c>
      <c r="Z20" s="30">
        <f t="shared" si="3"/>
        <v>2780</v>
      </c>
      <c r="AA20" s="30">
        <f t="shared" si="3"/>
        <v>3978</v>
      </c>
      <c r="AB20" s="85">
        <f t="shared" si="4"/>
        <v>499.33315141323334</v>
      </c>
      <c r="AC20" s="85">
        <f t="shared" si="5"/>
        <v>714.51340874886409</v>
      </c>
      <c r="AD20" s="32">
        <f t="shared" si="6"/>
        <v>-500.66684858676666</v>
      </c>
      <c r="AE20" s="32">
        <f t="shared" si="7"/>
        <v>614.51340874886409</v>
      </c>
      <c r="AF20" s="94">
        <f t="shared" si="8"/>
        <v>-2787.4252593322294</v>
      </c>
      <c r="AG20" s="94">
        <f t="shared" si="9"/>
        <v>3421.2574740667769</v>
      </c>
      <c r="AH20" s="86">
        <f t="shared" si="10"/>
        <v>-27.874252593322296</v>
      </c>
      <c r="AI20" s="86">
        <f t="shared" si="11"/>
        <v>307.91317266600993</v>
      </c>
      <c r="AJ20" s="91">
        <f t="shared" si="13"/>
        <v>2.1098499999999998</v>
      </c>
      <c r="AK20" s="91">
        <f t="shared" si="13"/>
        <v>2.9181666666666666</v>
      </c>
      <c r="AL20" s="173">
        <v>20000</v>
      </c>
      <c r="AM20" s="173">
        <v>12000</v>
      </c>
      <c r="AN20" s="250">
        <v>8511</v>
      </c>
      <c r="AO20" s="215">
        <v>5</v>
      </c>
      <c r="AP20" s="215">
        <v>3</v>
      </c>
      <c r="AQ20" s="188">
        <v>45124</v>
      </c>
      <c r="AR20" s="7" t="s">
        <v>320</v>
      </c>
      <c r="AS20">
        <v>0</v>
      </c>
      <c r="AT20" s="35"/>
    </row>
    <row r="21" spans="2:47" x14ac:dyDescent="0.25">
      <c r="B21" s="214" t="s">
        <v>164</v>
      </c>
      <c r="C21" s="174" t="s">
        <v>16</v>
      </c>
      <c r="D21" s="38" t="s">
        <v>13</v>
      </c>
      <c r="E21" s="218"/>
      <c r="F21" s="38" t="s">
        <v>245</v>
      </c>
      <c r="G21" s="38"/>
      <c r="H21" s="80">
        <v>43109</v>
      </c>
      <c r="I21" s="181">
        <f t="shared" si="14"/>
        <v>66.666666666666671</v>
      </c>
      <c r="J21" s="183">
        <f t="shared" si="15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0">
        <v>44928</v>
      </c>
      <c r="T21" s="244">
        <v>42253</v>
      </c>
      <c r="U21" s="244">
        <v>7451</v>
      </c>
      <c r="V21" s="115">
        <v>45096.324976851851</v>
      </c>
      <c r="W21" s="246">
        <v>45715</v>
      </c>
      <c r="X21" s="246">
        <v>8341</v>
      </c>
      <c r="Y21" s="126">
        <f t="shared" si="2"/>
        <v>5.5333654454914791</v>
      </c>
      <c r="Z21" s="30">
        <f t="shared" si="3"/>
        <v>3462</v>
      </c>
      <c r="AA21" s="30">
        <f t="shared" si="3"/>
        <v>890</v>
      </c>
      <c r="AB21" s="85">
        <f t="shared" si="4"/>
        <v>625.65901965155706</v>
      </c>
      <c r="AC21" s="85">
        <f t="shared" si="5"/>
        <v>160.84244006062559</v>
      </c>
      <c r="AD21" s="32">
        <f t="shared" si="6"/>
        <v>-374.34098034844294</v>
      </c>
      <c r="AE21" s="32">
        <f t="shared" si="7"/>
        <v>60.842440060625592</v>
      </c>
      <c r="AF21" s="94">
        <f t="shared" si="8"/>
        <v>-2071.365445491479</v>
      </c>
      <c r="AG21" s="94">
        <f t="shared" si="9"/>
        <v>336.66345545085215</v>
      </c>
      <c r="AH21" s="86">
        <f t="shared" si="10"/>
        <v>-20.713654454914792</v>
      </c>
      <c r="AI21" s="86">
        <f t="shared" si="11"/>
        <v>30.299710990576692</v>
      </c>
      <c r="AJ21" s="91">
        <f t="shared" si="13"/>
        <v>2.2857500000000002</v>
      </c>
      <c r="AK21" s="91">
        <f t="shared" si="13"/>
        <v>0.69508333333333339</v>
      </c>
      <c r="AL21" s="173">
        <v>20000</v>
      </c>
      <c r="AM21" s="173">
        <v>12000</v>
      </c>
      <c r="AN21" s="250">
        <v>8511</v>
      </c>
      <c r="AO21" s="215">
        <v>4</v>
      </c>
      <c r="AP21" s="215">
        <v>1</v>
      </c>
      <c r="AQ21" s="188">
        <v>45124</v>
      </c>
      <c r="AR21" s="7" t="s">
        <v>321</v>
      </c>
      <c r="AS21">
        <v>0</v>
      </c>
      <c r="AT21" s="35"/>
    </row>
    <row r="22" spans="2:47" x14ac:dyDescent="0.25">
      <c r="B22" s="214" t="s">
        <v>165</v>
      </c>
      <c r="C22" s="174" t="s">
        <v>106</v>
      </c>
      <c r="D22" s="38" t="s">
        <v>13</v>
      </c>
      <c r="E22" s="218"/>
      <c r="F22" s="38" t="s">
        <v>246</v>
      </c>
      <c r="G22" s="38"/>
      <c r="H22" s="80">
        <v>43634</v>
      </c>
      <c r="I22" s="181">
        <f t="shared" si="14"/>
        <v>66.666666666666671</v>
      </c>
      <c r="J22" s="183">
        <f t="shared" si="15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0">
        <v>44927</v>
      </c>
      <c r="T22" s="244">
        <v>62982</v>
      </c>
      <c r="U22" s="244">
        <v>28742</v>
      </c>
      <c r="V22" s="115">
        <v>45078.043252314812</v>
      </c>
      <c r="W22" s="246">
        <v>71365</v>
      </c>
      <c r="X22" s="246">
        <v>33612</v>
      </c>
      <c r="Y22" s="126">
        <f t="shared" si="2"/>
        <v>4.9652614173179481</v>
      </c>
      <c r="Z22" s="30">
        <f t="shared" si="3"/>
        <v>8383</v>
      </c>
      <c r="AA22" s="30">
        <f t="shared" si="3"/>
        <v>4870</v>
      </c>
      <c r="AB22" s="85">
        <f t="shared" si="4"/>
        <v>1688.3300385275966</v>
      </c>
      <c r="AC22" s="85">
        <f t="shared" si="5"/>
        <v>980.81442056893661</v>
      </c>
      <c r="AD22" s="32">
        <f t="shared" si="6"/>
        <v>688.33003852759657</v>
      </c>
      <c r="AE22" s="32">
        <f t="shared" si="7"/>
        <v>880.81442056893661</v>
      </c>
      <c r="AF22" s="94">
        <f t="shared" si="8"/>
        <v>3417.7385826820519</v>
      </c>
      <c r="AG22" s="94">
        <f t="shared" si="9"/>
        <v>4373.4738582682057</v>
      </c>
      <c r="AH22" s="86">
        <f t="shared" si="10"/>
        <v>34.177385826820519</v>
      </c>
      <c r="AI22" s="86">
        <f t="shared" si="11"/>
        <v>349.87790866145644</v>
      </c>
      <c r="AJ22" s="91">
        <f t="shared" si="13"/>
        <v>3.5682499999999999</v>
      </c>
      <c r="AK22" s="91">
        <f t="shared" si="13"/>
        <v>2.8010000000000002</v>
      </c>
      <c r="AL22" s="173">
        <v>20000</v>
      </c>
      <c r="AM22" s="173">
        <v>12000</v>
      </c>
      <c r="AN22" s="250">
        <v>8511</v>
      </c>
      <c r="AO22" s="215">
        <v>6</v>
      </c>
      <c r="AP22" s="215">
        <v>3</v>
      </c>
      <c r="AQ22" s="188">
        <v>45124</v>
      </c>
      <c r="AR22" s="7" t="s">
        <v>322</v>
      </c>
      <c r="AS22" s="125" t="s">
        <v>323</v>
      </c>
      <c r="AT22" s="35"/>
    </row>
    <row r="23" spans="2:47" x14ac:dyDescent="0.25">
      <c r="B23" s="214" t="s">
        <v>177</v>
      </c>
      <c r="C23" s="174" t="s">
        <v>151</v>
      </c>
      <c r="D23" s="38" t="s">
        <v>124</v>
      </c>
      <c r="E23" s="218"/>
      <c r="F23" s="38" t="s">
        <v>247</v>
      </c>
      <c r="G23" s="38"/>
      <c r="H23" s="80">
        <v>44317</v>
      </c>
      <c r="I23" s="181">
        <f t="shared" si="14"/>
        <v>99</v>
      </c>
      <c r="J23" s="183">
        <f t="shared" si="15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0">
        <v>44929</v>
      </c>
      <c r="T23" s="244">
        <v>33100</v>
      </c>
      <c r="U23" s="244">
        <v>10190</v>
      </c>
      <c r="V23" s="115">
        <v>45078.00204861111</v>
      </c>
      <c r="W23" s="246">
        <v>39047</v>
      </c>
      <c r="X23" s="246">
        <v>12348</v>
      </c>
      <c r="Y23" s="126">
        <f t="shared" si="2"/>
        <v>4.8981607038497623</v>
      </c>
      <c r="Z23" s="30">
        <f t="shared" si="3"/>
        <v>5947</v>
      </c>
      <c r="AA23" s="30">
        <f t="shared" si="3"/>
        <v>2158</v>
      </c>
      <c r="AB23" s="85">
        <f t="shared" si="4"/>
        <v>1214.1292128953407</v>
      </c>
      <c r="AC23" s="85">
        <f t="shared" si="5"/>
        <v>440.57353983994369</v>
      </c>
      <c r="AD23" s="32">
        <f t="shared" si="6"/>
        <v>214.12921289534074</v>
      </c>
      <c r="AE23" s="32">
        <f t="shared" si="7"/>
        <v>340.57353983994369</v>
      </c>
      <c r="AF23" s="94">
        <f t="shared" si="8"/>
        <v>1048.8392961502377</v>
      </c>
      <c r="AG23" s="94">
        <f t="shared" si="9"/>
        <v>1668.1839296150238</v>
      </c>
      <c r="AH23" s="86">
        <f t="shared" si="10"/>
        <v>10.488392961502377</v>
      </c>
      <c r="AI23" s="86">
        <f t="shared" si="11"/>
        <v>133.45471436920189</v>
      </c>
      <c r="AJ23" s="91">
        <f t="shared" si="13"/>
        <v>1.95235</v>
      </c>
      <c r="AK23" s="91">
        <f t="shared" si="13"/>
        <v>1.0289999999999999</v>
      </c>
      <c r="AL23" s="173">
        <v>20000</v>
      </c>
      <c r="AM23" s="173">
        <v>12000</v>
      </c>
      <c r="AN23" s="250">
        <v>8511</v>
      </c>
      <c r="AO23" s="215">
        <v>4</v>
      </c>
      <c r="AP23" s="215">
        <v>3</v>
      </c>
      <c r="AQ23" s="188">
        <v>45124</v>
      </c>
      <c r="AR23" s="7" t="s">
        <v>324</v>
      </c>
      <c r="AS23" s="7">
        <v>0</v>
      </c>
      <c r="AT23" s="35"/>
    </row>
    <row r="24" spans="2:47" x14ac:dyDescent="0.25">
      <c r="B24" s="214" t="s">
        <v>288</v>
      </c>
      <c r="C24" s="174" t="s">
        <v>283</v>
      </c>
      <c r="D24" s="38" t="s">
        <v>125</v>
      </c>
      <c r="E24" s="219" t="s">
        <v>138</v>
      </c>
      <c r="F24" s="38" t="s">
        <v>285</v>
      </c>
      <c r="G24" s="38"/>
      <c r="H24" s="80">
        <v>44971</v>
      </c>
      <c r="I24" s="181">
        <f t="shared" si="14"/>
        <v>345</v>
      </c>
      <c r="J24" s="183">
        <f t="shared" si="15"/>
        <v>1.15E-2</v>
      </c>
      <c r="K24" s="99">
        <v>46067</v>
      </c>
      <c r="L24" s="100">
        <v>1</v>
      </c>
      <c r="M24" s="178">
        <v>345</v>
      </c>
      <c r="N24" s="178"/>
      <c r="O24" s="175">
        <v>30000</v>
      </c>
      <c r="P24" s="108">
        <v>0.01</v>
      </c>
      <c r="Q24" s="166"/>
      <c r="R24" s="166"/>
      <c r="S24" s="252">
        <v>45066</v>
      </c>
      <c r="T24" s="266">
        <v>101728</v>
      </c>
      <c r="U24" s="266"/>
      <c r="V24" s="252"/>
      <c r="W24" s="266"/>
      <c r="X24" s="266"/>
      <c r="Y24" s="126">
        <f t="shared" si="2"/>
        <v>-1481.4595660749505</v>
      </c>
      <c r="Z24" s="30">
        <f t="shared" si="3"/>
        <v>-101728</v>
      </c>
      <c r="AA24" s="30">
        <f t="shared" si="3"/>
        <v>0</v>
      </c>
      <c r="AB24" s="85">
        <f t="shared" si="4"/>
        <v>68.667415790174417</v>
      </c>
      <c r="AC24" s="85">
        <f t="shared" si="5"/>
        <v>0</v>
      </c>
      <c r="AD24" s="32">
        <f t="shared" si="6"/>
        <v>-29931.332584209824</v>
      </c>
      <c r="AE24" s="32">
        <f t="shared" si="7"/>
        <v>0</v>
      </c>
      <c r="AF24" s="94">
        <f t="shared" si="8"/>
        <v>44342058.982248515</v>
      </c>
      <c r="AG24" s="94">
        <f t="shared" si="9"/>
        <v>0</v>
      </c>
      <c r="AH24" s="86">
        <f t="shared" si="10"/>
        <v>443420.58982248517</v>
      </c>
      <c r="AI24" s="86">
        <f t="shared" si="11"/>
        <v>0</v>
      </c>
      <c r="AJ24" s="91">
        <f t="shared" si="13"/>
        <v>0</v>
      </c>
      <c r="AK24" s="165"/>
      <c r="AL24" s="173">
        <v>30000</v>
      </c>
      <c r="AM24" s="251"/>
      <c r="AN24" s="250">
        <v>3012</v>
      </c>
      <c r="AO24" s="215"/>
      <c r="AP24" s="177"/>
      <c r="AQ24" s="188">
        <v>45124</v>
      </c>
      <c r="AR24" s="53" t="s">
        <v>325</v>
      </c>
      <c r="AS24" s="53" t="s">
        <v>326</v>
      </c>
    </row>
    <row r="25" spans="2:47" x14ac:dyDescent="0.25">
      <c r="B25" s="7" t="s">
        <v>327</v>
      </c>
      <c r="C25" s="174" t="s">
        <v>283</v>
      </c>
      <c r="D25" s="192" t="s">
        <v>328</v>
      </c>
      <c r="E25" s="270"/>
      <c r="F25" s="125" t="s">
        <v>329</v>
      </c>
      <c r="G25" s="38"/>
      <c r="H25" s="80">
        <v>44971</v>
      </c>
      <c r="I25" s="181">
        <f t="shared" si="14"/>
        <v>230</v>
      </c>
      <c r="J25" s="183">
        <f t="shared" si="15"/>
        <v>0.23</v>
      </c>
      <c r="K25" s="99">
        <v>46432</v>
      </c>
      <c r="L25" s="100">
        <v>1</v>
      </c>
      <c r="M25" s="271">
        <v>230</v>
      </c>
      <c r="N25" s="271"/>
      <c r="O25" s="272">
        <v>1000</v>
      </c>
      <c r="P25" s="125">
        <v>0.01</v>
      </c>
      <c r="Q25" s="53">
        <v>1500</v>
      </c>
      <c r="R25" s="125">
        <v>0.08</v>
      </c>
      <c r="S25" s="252">
        <v>45112</v>
      </c>
      <c r="T25" s="266">
        <v>17708</v>
      </c>
      <c r="U25" s="266">
        <v>4099</v>
      </c>
      <c r="V25" s="252"/>
      <c r="W25" s="266"/>
      <c r="X25" s="266"/>
      <c r="Y25" s="126">
        <f t="shared" si="2"/>
        <v>-1482.9717291255752</v>
      </c>
      <c r="Z25" s="30">
        <f t="shared" si="3"/>
        <v>-17708</v>
      </c>
      <c r="AA25" s="30">
        <f t="shared" si="3"/>
        <v>-4099</v>
      </c>
      <c r="AB25" s="85">
        <f t="shared" si="4"/>
        <v>11.940888455399895</v>
      </c>
      <c r="AC25" s="85">
        <f t="shared" si="5"/>
        <v>2.7640446001064021</v>
      </c>
      <c r="AD25" s="32">
        <f t="shared" si="6"/>
        <v>-988.05911154460011</v>
      </c>
      <c r="AE25" s="32">
        <f t="shared" si="7"/>
        <v>-1497.2359553998936</v>
      </c>
      <c r="AF25" s="94">
        <f t="shared" si="8"/>
        <v>1465263.7291255752</v>
      </c>
      <c r="AG25" s="94">
        <f t="shared" si="9"/>
        <v>2220358.5936883627</v>
      </c>
      <c r="AH25" s="86">
        <f t="shared" si="10"/>
        <v>14652.637291255753</v>
      </c>
      <c r="AI25" s="86">
        <f t="shared" si="11"/>
        <v>177628.68749506903</v>
      </c>
      <c r="AJ25" s="91">
        <f t="shared" si="13"/>
        <v>0</v>
      </c>
      <c r="AK25" s="91">
        <f t="shared" si="13"/>
        <v>0</v>
      </c>
      <c r="AL25" s="173">
        <v>20000</v>
      </c>
      <c r="AM25" s="173">
        <v>12000</v>
      </c>
      <c r="AN25" s="250">
        <v>8511</v>
      </c>
      <c r="AO25" s="215"/>
      <c r="AP25" s="215"/>
      <c r="AQ25" s="188">
        <v>45124</v>
      </c>
      <c r="AR25" s="53" t="s">
        <v>325</v>
      </c>
      <c r="AS25" s="53" t="s">
        <v>326</v>
      </c>
    </row>
    <row r="26" spans="2:47" x14ac:dyDescent="0.25">
      <c r="B26" s="7" t="s">
        <v>209</v>
      </c>
      <c r="C26" s="174" t="s">
        <v>4</v>
      </c>
      <c r="D26" s="38" t="s">
        <v>194</v>
      </c>
      <c r="E26" s="218"/>
      <c r="F26" s="38" t="s">
        <v>248</v>
      </c>
      <c r="G26" s="38"/>
      <c r="H26" s="80">
        <v>44747</v>
      </c>
      <c r="I26" s="181">
        <f t="shared" si="14"/>
        <v>130</v>
      </c>
      <c r="J26" s="183">
        <f t="shared" si="15"/>
        <v>7.8E-2</v>
      </c>
      <c r="K26" s="99">
        <v>46208</v>
      </c>
      <c r="L26" s="100">
        <v>3</v>
      </c>
      <c r="M26" s="101"/>
      <c r="N26" s="101">
        <v>390</v>
      </c>
      <c r="O26" s="267">
        <v>5000</v>
      </c>
      <c r="P26" s="268">
        <v>0.01</v>
      </c>
      <c r="Q26" s="103">
        <v>500</v>
      </c>
      <c r="R26" s="108">
        <v>0.08</v>
      </c>
      <c r="S26" s="190">
        <v>44898</v>
      </c>
      <c r="T26" s="244">
        <v>7744</v>
      </c>
      <c r="U26" s="244">
        <v>948</v>
      </c>
      <c r="V26" s="115">
        <v>45097.001712962963</v>
      </c>
      <c r="W26" s="246">
        <v>16378</v>
      </c>
      <c r="X26" s="246">
        <v>1866</v>
      </c>
      <c r="Y26" s="126">
        <f t="shared" si="2"/>
        <v>6.541805159860723</v>
      </c>
      <c r="Z26" s="30">
        <f t="shared" si="3"/>
        <v>8634</v>
      </c>
      <c r="AA26" s="30">
        <f t="shared" si="3"/>
        <v>918</v>
      </c>
      <c r="AB26" s="85">
        <f t="shared" si="4"/>
        <v>1319.8191919527944</v>
      </c>
      <c r="AC26" s="85">
        <f t="shared" si="5"/>
        <v>140.32823931117272</v>
      </c>
      <c r="AD26" s="32">
        <f t="shared" si="6"/>
        <v>-346.84747471387232</v>
      </c>
      <c r="AE26" s="32">
        <f t="shared" si="7"/>
        <v>-26.338427355493934</v>
      </c>
      <c r="AF26" s="94">
        <f t="shared" si="8"/>
        <v>-2269.0085997678716</v>
      </c>
      <c r="AG26" s="94">
        <f t="shared" si="9"/>
        <v>-172.30085997678702</v>
      </c>
      <c r="AH26" s="86">
        <f t="shared" si="10"/>
        <v>-22.690085997678718</v>
      </c>
      <c r="AI26" s="86">
        <f t="shared" si="11"/>
        <v>-13.784068798142963</v>
      </c>
      <c r="AJ26" s="91">
        <f t="shared" si="13"/>
        <v>0.81889999999999996</v>
      </c>
      <c r="AK26" s="91">
        <f t="shared" si="13"/>
        <v>0.1555</v>
      </c>
      <c r="AL26" s="173">
        <v>20000</v>
      </c>
      <c r="AM26" s="173">
        <v>12000</v>
      </c>
      <c r="AN26" s="250">
        <v>8531</v>
      </c>
      <c r="AO26" s="215">
        <v>2</v>
      </c>
      <c r="AP26" s="215">
        <v>1</v>
      </c>
      <c r="AQ26" s="188">
        <v>45124</v>
      </c>
      <c r="AR26" s="7" t="s">
        <v>330</v>
      </c>
      <c r="AS26" s="125" t="s">
        <v>331</v>
      </c>
      <c r="AT26" s="35"/>
    </row>
    <row r="27" spans="2:47" x14ac:dyDescent="0.25">
      <c r="B27" s="214" t="s">
        <v>166</v>
      </c>
      <c r="C27" s="174" t="s">
        <v>145</v>
      </c>
      <c r="D27" s="38" t="s">
        <v>124</v>
      </c>
      <c r="E27" s="218"/>
      <c r="F27" s="38" t="s">
        <v>249</v>
      </c>
      <c r="G27" s="38"/>
      <c r="H27" s="80">
        <v>44151</v>
      </c>
      <c r="I27" s="181">
        <f t="shared" si="14"/>
        <v>66.666666666666671</v>
      </c>
      <c r="J27" s="183">
        <f t="shared" si="15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0">
        <v>44927</v>
      </c>
      <c r="T27" s="244">
        <v>30105</v>
      </c>
      <c r="U27" s="244">
        <v>34528</v>
      </c>
      <c r="V27" s="115">
        <v>45078.04351851852</v>
      </c>
      <c r="W27" s="246">
        <v>39920</v>
      </c>
      <c r="X27" s="246">
        <v>42772</v>
      </c>
      <c r="Y27" s="126">
        <f t="shared" si="2"/>
        <v>4.96527016826166</v>
      </c>
      <c r="Z27" s="30">
        <f t="shared" si="3"/>
        <v>9815</v>
      </c>
      <c r="AA27" s="30">
        <f t="shared" si="3"/>
        <v>8244</v>
      </c>
      <c r="AB27" s="85">
        <f t="shared" si="4"/>
        <v>1976.7303021571995</v>
      </c>
      <c r="AC27" s="85">
        <f t="shared" si="5"/>
        <v>1660.3326144660166</v>
      </c>
      <c r="AD27" s="32">
        <f t="shared" si="6"/>
        <v>976.7303021571995</v>
      </c>
      <c r="AE27" s="32">
        <f t="shared" si="7"/>
        <v>1560.3326144660166</v>
      </c>
      <c r="AF27" s="94">
        <f t="shared" si="8"/>
        <v>4849.7298317383402</v>
      </c>
      <c r="AG27" s="94">
        <f t="shared" si="9"/>
        <v>7747.4729831738341</v>
      </c>
      <c r="AH27" s="86">
        <f t="shared" si="10"/>
        <v>48.497298317383404</v>
      </c>
      <c r="AI27" s="86">
        <f t="shared" si="11"/>
        <v>619.79783865390675</v>
      </c>
      <c r="AJ27" s="91">
        <f t="shared" si="13"/>
        <v>1.996</v>
      </c>
      <c r="AK27" s="91">
        <f t="shared" si="13"/>
        <v>3.5643333333333334</v>
      </c>
      <c r="AL27" s="173">
        <v>20000</v>
      </c>
      <c r="AM27" s="173">
        <v>12000</v>
      </c>
      <c r="AN27" s="250">
        <v>8511</v>
      </c>
      <c r="AO27" s="215">
        <v>5</v>
      </c>
      <c r="AP27" s="215">
        <v>3</v>
      </c>
      <c r="AQ27" s="188">
        <v>45124</v>
      </c>
      <c r="AR27" s="7" t="s">
        <v>332</v>
      </c>
      <c r="AS27" s="53" t="s">
        <v>333</v>
      </c>
      <c r="AT27" s="35"/>
    </row>
    <row r="28" spans="2:47" x14ac:dyDescent="0.25">
      <c r="B28" s="214" t="s">
        <v>159</v>
      </c>
      <c r="C28" s="174" t="s">
        <v>146</v>
      </c>
      <c r="D28" s="38" t="s">
        <v>13</v>
      </c>
      <c r="E28" s="218"/>
      <c r="F28" s="38" t="s">
        <v>250</v>
      </c>
      <c r="G28" s="38"/>
      <c r="H28" s="80">
        <v>43223</v>
      </c>
      <c r="I28" s="181">
        <f t="shared" si="14"/>
        <v>66.666666666666671</v>
      </c>
      <c r="J28" s="183">
        <f t="shared" si="15"/>
        <v>6.6666666666666666E-2</v>
      </c>
      <c r="K28" s="99">
        <v>45291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0">
        <v>44928</v>
      </c>
      <c r="T28" s="244">
        <v>23583</v>
      </c>
      <c r="U28" s="244">
        <v>16299</v>
      </c>
      <c r="V28" s="115">
        <v>45096.291250000002</v>
      </c>
      <c r="W28" s="246">
        <v>24947</v>
      </c>
      <c r="X28" s="246">
        <v>17043</v>
      </c>
      <c r="Y28" s="126">
        <f t="shared" si="2"/>
        <v>5.5322567389875745</v>
      </c>
      <c r="Z28" s="30">
        <f t="shared" si="3"/>
        <v>1364</v>
      </c>
      <c r="AA28" s="30">
        <f t="shared" si="3"/>
        <v>744</v>
      </c>
      <c r="AB28" s="85">
        <f t="shared" si="4"/>
        <v>246.5539949343742</v>
      </c>
      <c r="AC28" s="85">
        <f t="shared" si="5"/>
        <v>134.48399723693137</v>
      </c>
      <c r="AD28" s="32">
        <f t="shared" si="6"/>
        <v>-753.44600506562574</v>
      </c>
      <c r="AE28" s="32">
        <f t="shared" si="7"/>
        <v>34.483997236931373</v>
      </c>
      <c r="AF28" s="94">
        <f t="shared" si="8"/>
        <v>-4168.256738987574</v>
      </c>
      <c r="AG28" s="94">
        <f t="shared" si="9"/>
        <v>190.77432610124248</v>
      </c>
      <c r="AH28" s="86">
        <f t="shared" si="10"/>
        <v>-41.682567389875743</v>
      </c>
      <c r="AI28" s="86">
        <f t="shared" si="11"/>
        <v>15.261946088099398</v>
      </c>
      <c r="AJ28" s="91">
        <f t="shared" si="13"/>
        <v>1.24735</v>
      </c>
      <c r="AK28" s="91">
        <f t="shared" si="13"/>
        <v>1.42025</v>
      </c>
      <c r="AL28" s="173">
        <v>20000</v>
      </c>
      <c r="AM28" s="173">
        <v>12000</v>
      </c>
      <c r="AN28" s="250">
        <v>8511</v>
      </c>
      <c r="AO28" s="215">
        <v>5</v>
      </c>
      <c r="AP28" s="215">
        <v>3</v>
      </c>
      <c r="AQ28" s="188">
        <v>45124</v>
      </c>
      <c r="AR28" s="7" t="s">
        <v>334</v>
      </c>
      <c r="AS28">
        <v>0</v>
      </c>
      <c r="AT28" s="35"/>
    </row>
    <row r="29" spans="2:47" x14ac:dyDescent="0.25">
      <c r="B29" s="96"/>
      <c r="C29" s="174" t="s">
        <v>87</v>
      </c>
      <c r="D29" s="38" t="s">
        <v>13</v>
      </c>
      <c r="E29" s="218"/>
      <c r="F29" s="249"/>
      <c r="G29" s="38"/>
      <c r="H29" s="80">
        <v>43418</v>
      </c>
      <c r="I29" s="181">
        <f t="shared" si="14"/>
        <v>66.666666666666671</v>
      </c>
      <c r="J29" s="183">
        <f t="shared" si="15"/>
        <v>6.6666666666666666E-2</v>
      </c>
      <c r="K29" s="273">
        <v>45231</v>
      </c>
      <c r="L29" s="100">
        <v>3</v>
      </c>
      <c r="M29" s="101"/>
      <c r="N29" s="101">
        <v>200</v>
      </c>
      <c r="O29" s="267">
        <v>3000</v>
      </c>
      <c r="P29" s="108">
        <v>0.01</v>
      </c>
      <c r="Q29" s="103">
        <v>300</v>
      </c>
      <c r="R29" s="108">
        <v>0.08</v>
      </c>
      <c r="S29" s="190">
        <v>44985</v>
      </c>
      <c r="T29" s="244">
        <v>102759</v>
      </c>
      <c r="U29" s="244">
        <v>79981</v>
      </c>
      <c r="V29" s="252">
        <v>45133</v>
      </c>
      <c r="W29" s="266">
        <v>124419</v>
      </c>
      <c r="X29" s="266">
        <v>94983</v>
      </c>
      <c r="Y29" s="126">
        <f t="shared" si="2"/>
        <v>4.8652202498356338</v>
      </c>
      <c r="Z29" s="30">
        <f t="shared" si="3"/>
        <v>21660</v>
      </c>
      <c r="AA29" s="30">
        <f t="shared" si="3"/>
        <v>15002</v>
      </c>
      <c r="AB29" s="85">
        <f t="shared" si="4"/>
        <v>4452.0081081081089</v>
      </c>
      <c r="AC29" s="85">
        <f t="shared" si="5"/>
        <v>3083.5191891891895</v>
      </c>
      <c r="AD29" s="32">
        <f t="shared" si="6"/>
        <v>3452.0081081081089</v>
      </c>
      <c r="AE29" s="32">
        <f t="shared" si="7"/>
        <v>2983.5191891891895</v>
      </c>
      <c r="AF29" s="94">
        <f t="shared" si="8"/>
        <v>16794.779750164369</v>
      </c>
      <c r="AG29" s="94">
        <f t="shared" si="9"/>
        <v>14515.477975016436</v>
      </c>
      <c r="AH29" s="86">
        <f t="shared" si="10"/>
        <v>167.94779750164369</v>
      </c>
      <c r="AI29" s="86">
        <f t="shared" si="11"/>
        <v>1161.2382380013148</v>
      </c>
      <c r="AJ29" s="91">
        <f t="shared" si="13"/>
        <v>6.2209500000000002</v>
      </c>
      <c r="AK29" s="91">
        <f t="shared" si="13"/>
        <v>7.9152500000000003</v>
      </c>
      <c r="AL29" s="173">
        <v>20000</v>
      </c>
      <c r="AM29" s="173">
        <v>12000</v>
      </c>
      <c r="AN29" s="250">
        <v>8511</v>
      </c>
      <c r="AO29" s="215">
        <v>18</v>
      </c>
      <c r="AP29" s="215">
        <v>13</v>
      </c>
      <c r="AQ29" s="274"/>
      <c r="AR29" s="179" t="s">
        <v>220</v>
      </c>
      <c r="AS29">
        <v>0</v>
      </c>
      <c r="AT29" s="35"/>
    </row>
    <row r="30" spans="2:47" x14ac:dyDescent="0.25">
      <c r="B30" s="7" t="s">
        <v>168</v>
      </c>
      <c r="C30" s="174" t="s">
        <v>15</v>
      </c>
      <c r="D30" s="38" t="s">
        <v>148</v>
      </c>
      <c r="E30" s="218"/>
      <c r="F30" s="38" t="s">
        <v>252</v>
      </c>
      <c r="G30" s="38" t="s">
        <v>277</v>
      </c>
      <c r="H30" s="80">
        <v>44187</v>
      </c>
      <c r="I30" s="181">
        <f t="shared" si="14"/>
        <v>120</v>
      </c>
      <c r="J30" s="183">
        <f t="shared" si="15"/>
        <v>7.1999999999999995E-2</v>
      </c>
      <c r="K30" s="99">
        <v>45648</v>
      </c>
      <c r="L30" s="100">
        <v>3</v>
      </c>
      <c r="M30" s="101"/>
      <c r="N30" s="101">
        <v>360</v>
      </c>
      <c r="O30" s="267">
        <v>5000</v>
      </c>
      <c r="P30" s="275">
        <v>8.9999999999999993E-3</v>
      </c>
      <c r="Q30" s="276">
        <v>500</v>
      </c>
      <c r="R30" s="185">
        <v>8.1000000000000003E-2</v>
      </c>
      <c r="S30" s="190">
        <v>44927</v>
      </c>
      <c r="T30" s="244">
        <v>99843</v>
      </c>
      <c r="U30" s="244">
        <v>62959</v>
      </c>
      <c r="V30" s="115">
        <v>45098.46234953704</v>
      </c>
      <c r="W30" s="246">
        <v>116810</v>
      </c>
      <c r="X30" s="246">
        <v>82616</v>
      </c>
      <c r="Y30" s="126">
        <f t="shared" si="2"/>
        <v>5.6365006422432504</v>
      </c>
      <c r="Z30" s="30">
        <f t="shared" si="3"/>
        <v>16967</v>
      </c>
      <c r="AA30" s="30">
        <f t="shared" si="3"/>
        <v>19657</v>
      </c>
      <c r="AB30" s="85">
        <f t="shared" si="4"/>
        <v>3010.2010231027607</v>
      </c>
      <c r="AC30" s="85">
        <f t="shared" si="5"/>
        <v>3487.4474869529654</v>
      </c>
      <c r="AD30" s="32">
        <f t="shared" si="6"/>
        <v>1343.534356436094</v>
      </c>
      <c r="AE30" s="32">
        <f t="shared" si="7"/>
        <v>3320.7808202862989</v>
      </c>
      <c r="AF30" s="94">
        <f t="shared" si="8"/>
        <v>7572.8322629279155</v>
      </c>
      <c r="AG30" s="94">
        <f t="shared" si="9"/>
        <v>18717.583226292791</v>
      </c>
      <c r="AH30" s="86">
        <f t="shared" si="10"/>
        <v>68.155490366351231</v>
      </c>
      <c r="AI30" s="86">
        <f t="shared" si="11"/>
        <v>1516.1242413297161</v>
      </c>
      <c r="AJ30" s="91">
        <f t="shared" ref="AJ30:AK56" si="16">W30/AL30</f>
        <v>3.8936666666666668</v>
      </c>
      <c r="AK30" s="91">
        <f t="shared" si="16"/>
        <v>4.1307999999999998</v>
      </c>
      <c r="AL30" s="173">
        <v>30000</v>
      </c>
      <c r="AM30" s="173">
        <v>20000</v>
      </c>
      <c r="AN30" s="250">
        <v>8514</v>
      </c>
      <c r="AO30" s="215">
        <v>8</v>
      </c>
      <c r="AP30" s="215">
        <v>2</v>
      </c>
      <c r="AQ30" s="188">
        <v>45124</v>
      </c>
      <c r="AR30" s="7" t="s">
        <v>335</v>
      </c>
      <c r="AS30">
        <v>0</v>
      </c>
      <c r="AT30" s="35"/>
    </row>
    <row r="31" spans="2:47" x14ac:dyDescent="0.25">
      <c r="B31" s="7" t="s">
        <v>193</v>
      </c>
      <c r="C31" s="174" t="s">
        <v>15</v>
      </c>
      <c r="D31" s="38" t="s">
        <v>194</v>
      </c>
      <c r="E31" s="218"/>
      <c r="F31" s="38" t="s">
        <v>195</v>
      </c>
      <c r="G31" s="38" t="s">
        <v>278</v>
      </c>
      <c r="H31" s="80">
        <v>44635</v>
      </c>
      <c r="I31" s="181">
        <f t="shared" si="14"/>
        <v>130</v>
      </c>
      <c r="J31" s="183">
        <f t="shared" si="15"/>
        <v>7.8E-2</v>
      </c>
      <c r="K31" s="99">
        <v>46096</v>
      </c>
      <c r="L31" s="100">
        <v>3</v>
      </c>
      <c r="M31" s="101"/>
      <c r="N31" s="101">
        <v>390</v>
      </c>
      <c r="O31" s="267">
        <v>5000</v>
      </c>
      <c r="P31" s="275">
        <v>8.9999999999999993E-3</v>
      </c>
      <c r="Q31" s="103">
        <v>500</v>
      </c>
      <c r="R31" s="185">
        <v>8.1000000000000003E-2</v>
      </c>
      <c r="S31" s="190">
        <v>44927</v>
      </c>
      <c r="T31" s="244">
        <v>8738</v>
      </c>
      <c r="U31" s="244">
        <v>4788</v>
      </c>
      <c r="V31" s="115">
        <v>45097.509837962964</v>
      </c>
      <c r="W31" s="246">
        <v>14117</v>
      </c>
      <c r="X31" s="246">
        <v>8429</v>
      </c>
      <c r="Y31" s="126">
        <f t="shared" si="2"/>
        <v>5.6051886246865052</v>
      </c>
      <c r="Z31" s="30">
        <f t="shared" si="3"/>
        <v>5379</v>
      </c>
      <c r="AA31" s="30">
        <f t="shared" si="3"/>
        <v>3641</v>
      </c>
      <c r="AB31" s="85">
        <f t="shared" si="4"/>
        <v>959.64656324136536</v>
      </c>
      <c r="AC31" s="85">
        <f t="shared" si="5"/>
        <v>649.57671254170134</v>
      </c>
      <c r="AD31" s="32">
        <f t="shared" si="6"/>
        <v>-707.02010342530139</v>
      </c>
      <c r="AE31" s="32">
        <f t="shared" si="7"/>
        <v>482.91004587503471</v>
      </c>
      <c r="AF31" s="94">
        <f t="shared" si="8"/>
        <v>-3962.9810411441758</v>
      </c>
      <c r="AG31" s="94">
        <f t="shared" si="9"/>
        <v>2706.8018958855828</v>
      </c>
      <c r="AH31" s="86">
        <f t="shared" si="10"/>
        <v>-35.666829370297577</v>
      </c>
      <c r="AI31" s="86">
        <f t="shared" si="11"/>
        <v>219.25095356673222</v>
      </c>
      <c r="AJ31" s="91">
        <f t="shared" si="16"/>
        <v>0.70584999999999998</v>
      </c>
      <c r="AK31" s="91">
        <f t="shared" si="16"/>
        <v>0.70241666666666669</v>
      </c>
      <c r="AL31" s="173">
        <v>20000</v>
      </c>
      <c r="AM31" s="173">
        <v>12000</v>
      </c>
      <c r="AN31" s="250">
        <v>8531</v>
      </c>
      <c r="AO31" s="215">
        <v>4</v>
      </c>
      <c r="AP31" s="215">
        <v>1</v>
      </c>
      <c r="AQ31" s="188">
        <v>45124</v>
      </c>
      <c r="AR31" s="7" t="s">
        <v>336</v>
      </c>
      <c r="AS31">
        <v>0</v>
      </c>
      <c r="AT31" s="35"/>
    </row>
    <row r="32" spans="2:47" x14ac:dyDescent="0.25">
      <c r="B32" s="7" t="s">
        <v>251</v>
      </c>
      <c r="C32" s="174" t="s">
        <v>15</v>
      </c>
      <c r="D32" s="38" t="s">
        <v>194</v>
      </c>
      <c r="E32" s="218"/>
      <c r="F32" s="38" t="s">
        <v>214</v>
      </c>
      <c r="G32" s="38" t="s">
        <v>279</v>
      </c>
      <c r="H32" s="80">
        <v>44804</v>
      </c>
      <c r="I32" s="181">
        <f t="shared" si="14"/>
        <v>130</v>
      </c>
      <c r="J32" s="183">
        <f t="shared" si="15"/>
        <v>7.8E-2</v>
      </c>
      <c r="K32" s="99">
        <v>46265</v>
      </c>
      <c r="L32" s="100">
        <v>3</v>
      </c>
      <c r="M32" s="101"/>
      <c r="N32" s="101">
        <v>390</v>
      </c>
      <c r="O32" s="267">
        <v>5000</v>
      </c>
      <c r="P32" s="268">
        <v>0.01</v>
      </c>
      <c r="Q32" s="103">
        <v>500</v>
      </c>
      <c r="R32" s="108">
        <v>0.08</v>
      </c>
      <c r="S32" s="190">
        <v>44949</v>
      </c>
      <c r="T32" s="244">
        <v>19368</v>
      </c>
      <c r="U32" s="244">
        <v>2267</v>
      </c>
      <c r="V32" s="115">
        <v>45097.001770833333</v>
      </c>
      <c r="W32" s="246">
        <v>35411</v>
      </c>
      <c r="X32" s="246">
        <v>4601</v>
      </c>
      <c r="Y32" s="126">
        <f t="shared" si="2"/>
        <v>4.8652784626342065</v>
      </c>
      <c r="Z32" s="30">
        <f t="shared" si="3"/>
        <v>16043</v>
      </c>
      <c r="AA32" s="30">
        <f t="shared" si="3"/>
        <v>2334</v>
      </c>
      <c r="AB32" s="85">
        <f t="shared" si="4"/>
        <v>3297.4474376362505</v>
      </c>
      <c r="AC32" s="85">
        <f t="shared" si="5"/>
        <v>479.72588165823151</v>
      </c>
      <c r="AD32" s="32">
        <f t="shared" si="6"/>
        <v>1630.7807709695837</v>
      </c>
      <c r="AE32" s="32">
        <f t="shared" si="7"/>
        <v>313.05921499156489</v>
      </c>
      <c r="AF32" s="94">
        <f t="shared" si="8"/>
        <v>7934.2025622763222</v>
      </c>
      <c r="AG32" s="94">
        <f t="shared" si="9"/>
        <v>1523.1202562276324</v>
      </c>
      <c r="AH32" s="86">
        <f t="shared" si="10"/>
        <v>79.342025622763217</v>
      </c>
      <c r="AI32" s="86">
        <f t="shared" si="11"/>
        <v>121.84962049821058</v>
      </c>
      <c r="AJ32" s="91">
        <f t="shared" si="16"/>
        <v>1.7705500000000001</v>
      </c>
      <c r="AK32" s="91">
        <f t="shared" si="16"/>
        <v>0.38341666666666668</v>
      </c>
      <c r="AL32" s="173">
        <v>20000</v>
      </c>
      <c r="AM32" s="173">
        <v>12000</v>
      </c>
      <c r="AN32" s="250">
        <v>8531</v>
      </c>
      <c r="AO32" s="215">
        <v>4</v>
      </c>
      <c r="AP32" s="215">
        <v>1</v>
      </c>
      <c r="AQ32" s="188">
        <v>45124</v>
      </c>
      <c r="AR32" s="7" t="s">
        <v>337</v>
      </c>
      <c r="AS32" s="7">
        <v>0</v>
      </c>
      <c r="AT32" s="35"/>
    </row>
    <row r="33" spans="2:46" x14ac:dyDescent="0.25">
      <c r="B33" s="7" t="s">
        <v>221</v>
      </c>
      <c r="C33" s="174" t="s">
        <v>15</v>
      </c>
      <c r="D33" s="38" t="s">
        <v>194</v>
      </c>
      <c r="E33" s="218"/>
      <c r="F33" s="38" t="s">
        <v>219</v>
      </c>
      <c r="G33" s="38" t="s">
        <v>280</v>
      </c>
      <c r="H33" s="80">
        <v>44929</v>
      </c>
      <c r="I33" s="181">
        <f t="shared" si="14"/>
        <v>130</v>
      </c>
      <c r="J33" s="183">
        <f t="shared" si="15"/>
        <v>7.8E-2</v>
      </c>
      <c r="K33" s="99">
        <v>46390</v>
      </c>
      <c r="L33" s="100">
        <v>3</v>
      </c>
      <c r="M33" s="101"/>
      <c r="N33" s="101">
        <v>390</v>
      </c>
      <c r="O33" s="267">
        <v>5000</v>
      </c>
      <c r="P33" s="268">
        <v>0.01</v>
      </c>
      <c r="Q33" s="103">
        <v>500</v>
      </c>
      <c r="R33" s="108">
        <v>0.08</v>
      </c>
      <c r="S33" s="190">
        <v>44942</v>
      </c>
      <c r="T33" s="244">
        <v>0</v>
      </c>
      <c r="U33" s="244">
        <v>0</v>
      </c>
      <c r="V33" s="115">
        <v>45097.001851851855</v>
      </c>
      <c r="W33" s="246">
        <v>3884</v>
      </c>
      <c r="X33" s="246">
        <v>2693</v>
      </c>
      <c r="Y33" s="126">
        <f t="shared" si="2"/>
        <v>5.0953928945383122</v>
      </c>
      <c r="Z33" s="30">
        <f t="shared" si="3"/>
        <v>3884</v>
      </c>
      <c r="AA33" s="30">
        <f t="shared" si="3"/>
        <v>2693</v>
      </c>
      <c r="AB33" s="85">
        <f t="shared" si="4"/>
        <v>762.25721556490976</v>
      </c>
      <c r="AC33" s="85">
        <f t="shared" si="5"/>
        <v>528.51665332551545</v>
      </c>
      <c r="AD33" s="32">
        <f t="shared" si="6"/>
        <v>-904.40945110175699</v>
      </c>
      <c r="AE33" s="32">
        <f t="shared" si="7"/>
        <v>361.84998665884882</v>
      </c>
      <c r="AF33" s="94">
        <f t="shared" si="8"/>
        <v>-4608.3214908971877</v>
      </c>
      <c r="AG33" s="94">
        <f t="shared" si="9"/>
        <v>1843.7678509102814</v>
      </c>
      <c r="AH33" s="86">
        <f t="shared" si="10"/>
        <v>-46.083214908971875</v>
      </c>
      <c r="AI33" s="86">
        <f t="shared" si="11"/>
        <v>147.50142807282251</v>
      </c>
      <c r="AJ33" s="91">
        <f t="shared" si="16"/>
        <v>0.19420000000000001</v>
      </c>
      <c r="AK33" s="91">
        <f t="shared" si="16"/>
        <v>0.22441666666666665</v>
      </c>
      <c r="AL33" s="173">
        <v>20000</v>
      </c>
      <c r="AM33" s="173">
        <v>12000</v>
      </c>
      <c r="AN33" s="250">
        <v>8531</v>
      </c>
      <c r="AO33" s="215">
        <v>3</v>
      </c>
      <c r="AP33" s="215">
        <v>1</v>
      </c>
      <c r="AQ33" s="188">
        <v>45124</v>
      </c>
      <c r="AR33" s="7" t="s">
        <v>338</v>
      </c>
      <c r="AS33">
        <v>0</v>
      </c>
      <c r="AT33" s="35"/>
    </row>
    <row r="34" spans="2:46" x14ac:dyDescent="0.25">
      <c r="B34" s="7" t="s">
        <v>167</v>
      </c>
      <c r="C34" s="174" t="s">
        <v>15</v>
      </c>
      <c r="D34" s="194" t="s">
        <v>211</v>
      </c>
      <c r="E34" s="218"/>
      <c r="F34" s="38" t="s">
        <v>217</v>
      </c>
      <c r="G34" s="38" t="s">
        <v>281</v>
      </c>
      <c r="H34" s="80">
        <v>44830</v>
      </c>
      <c r="I34" s="181">
        <f t="shared" si="14"/>
        <v>20</v>
      </c>
      <c r="J34" s="183" t="e">
        <f t="shared" si="15"/>
        <v>#DIV/0!</v>
      </c>
      <c r="K34" s="99" t="s">
        <v>208</v>
      </c>
      <c r="L34" s="100">
        <v>3</v>
      </c>
      <c r="M34" s="101"/>
      <c r="N34" s="101">
        <v>60</v>
      </c>
      <c r="O34" s="267">
        <v>0</v>
      </c>
      <c r="P34" s="268">
        <v>0.01</v>
      </c>
      <c r="Q34" s="103">
        <v>0</v>
      </c>
      <c r="R34" s="108">
        <v>0.08</v>
      </c>
      <c r="S34" s="190">
        <v>44950</v>
      </c>
      <c r="T34" s="244">
        <v>182364</v>
      </c>
      <c r="U34" s="244">
        <v>17620</v>
      </c>
      <c r="V34" s="193">
        <v>45036.085358796299</v>
      </c>
      <c r="W34" s="247">
        <v>182468</v>
      </c>
      <c r="X34" s="247">
        <v>17621</v>
      </c>
      <c r="Y34" s="126">
        <f t="shared" si="2"/>
        <v>2.8298934515548737</v>
      </c>
      <c r="Z34" s="30">
        <f t="shared" ref="Z34:AA56" si="17">W34-T34</f>
        <v>104</v>
      </c>
      <c r="AA34" s="30">
        <f t="shared" si="17"/>
        <v>1</v>
      </c>
      <c r="AB34" s="85">
        <f t="shared" si="4"/>
        <v>36.750500250409644</v>
      </c>
      <c r="AC34" s="85">
        <f t="shared" si="5"/>
        <v>0.35337019471547737</v>
      </c>
      <c r="AD34" s="32">
        <f t="shared" si="6"/>
        <v>36.750500250409644</v>
      </c>
      <c r="AE34" s="32">
        <f t="shared" si="7"/>
        <v>0.35337019471547737</v>
      </c>
      <c r="AF34" s="94">
        <f t="shared" si="8"/>
        <v>104</v>
      </c>
      <c r="AG34" s="94">
        <f t="shared" si="9"/>
        <v>1</v>
      </c>
      <c r="AH34" s="86">
        <f t="shared" si="10"/>
        <v>1.04</v>
      </c>
      <c r="AI34" s="86">
        <f t="shared" si="11"/>
        <v>0.08</v>
      </c>
      <c r="AJ34" s="91">
        <f t="shared" si="16"/>
        <v>9.1234000000000002</v>
      </c>
      <c r="AK34" s="91">
        <f t="shared" si="16"/>
        <v>1.4684166666666667</v>
      </c>
      <c r="AL34" s="173">
        <v>20000</v>
      </c>
      <c r="AM34" s="173">
        <v>12000</v>
      </c>
      <c r="AN34" s="250">
        <v>8511</v>
      </c>
      <c r="AO34" s="215">
        <v>1</v>
      </c>
      <c r="AP34" s="215">
        <v>1</v>
      </c>
      <c r="AQ34" s="188">
        <v>45124</v>
      </c>
      <c r="AR34" s="7" t="s">
        <v>339</v>
      </c>
      <c r="AS34">
        <v>0</v>
      </c>
      <c r="AT34" s="35"/>
    </row>
    <row r="35" spans="2:46" x14ac:dyDescent="0.25">
      <c r="B35" s="7" t="s">
        <v>167</v>
      </c>
      <c r="C35" s="53" t="s">
        <v>15</v>
      </c>
      <c r="D35" s="192" t="s">
        <v>194</v>
      </c>
      <c r="E35" s="270"/>
      <c r="F35" s="192" t="s">
        <v>340</v>
      </c>
      <c r="G35" s="192" t="s">
        <v>341</v>
      </c>
      <c r="H35" s="199">
        <v>45135</v>
      </c>
      <c r="I35" s="277">
        <f t="shared" si="14"/>
        <v>130</v>
      </c>
      <c r="J35" s="278">
        <f t="shared" si="15"/>
        <v>7.8E-2</v>
      </c>
      <c r="K35" s="279">
        <v>46596</v>
      </c>
      <c r="L35" s="100">
        <v>3</v>
      </c>
      <c r="M35" s="101"/>
      <c r="N35" s="101">
        <v>390</v>
      </c>
      <c r="O35" s="267">
        <v>5000</v>
      </c>
      <c r="P35" s="268">
        <v>0.01</v>
      </c>
      <c r="Q35" s="103">
        <v>500</v>
      </c>
      <c r="R35" s="108">
        <v>0.08</v>
      </c>
      <c r="S35" s="190">
        <v>45135</v>
      </c>
      <c r="T35" s="244">
        <v>0</v>
      </c>
      <c r="U35" s="244">
        <v>0</v>
      </c>
      <c r="V35" s="252"/>
      <c r="W35" s="266"/>
      <c r="X35" s="266"/>
      <c r="Y35" s="126">
        <f t="shared" si="2"/>
        <v>-1483.7278106508875</v>
      </c>
      <c r="Z35" s="30">
        <f t="shared" si="17"/>
        <v>0</v>
      </c>
      <c r="AA35" s="30">
        <f t="shared" si="17"/>
        <v>0</v>
      </c>
      <c r="AB35" s="85">
        <f t="shared" si="4"/>
        <v>0</v>
      </c>
      <c r="AC35" s="85">
        <f t="shared" si="5"/>
        <v>0</v>
      </c>
      <c r="AD35" s="32">
        <f t="shared" si="6"/>
        <v>-1666.6666666666667</v>
      </c>
      <c r="AE35" s="32">
        <f t="shared" si="7"/>
        <v>-166.66666666666666</v>
      </c>
      <c r="AF35" s="94">
        <f t="shared" si="8"/>
        <v>2472879.684418146</v>
      </c>
      <c r="AG35" s="94">
        <f t="shared" si="9"/>
        <v>247287.96844181456</v>
      </c>
      <c r="AH35" s="86">
        <f t="shared" si="10"/>
        <v>24728.796844181459</v>
      </c>
      <c r="AI35" s="86">
        <f t="shared" si="11"/>
        <v>19783.037475345165</v>
      </c>
      <c r="AJ35" s="91">
        <f t="shared" si="16"/>
        <v>0</v>
      </c>
      <c r="AK35" s="91">
        <f t="shared" si="16"/>
        <v>0</v>
      </c>
      <c r="AL35" s="173">
        <v>20000</v>
      </c>
      <c r="AM35" s="173">
        <v>12000</v>
      </c>
      <c r="AN35" s="250">
        <v>8531</v>
      </c>
      <c r="AO35" s="215"/>
      <c r="AP35" s="215"/>
      <c r="AQ35" s="188"/>
      <c r="AR35" s="7"/>
      <c r="AT35" s="35"/>
    </row>
    <row r="36" spans="2:46" x14ac:dyDescent="0.25">
      <c r="B36" s="7" t="s">
        <v>185</v>
      </c>
      <c r="C36" s="174" t="s">
        <v>186</v>
      </c>
      <c r="D36" s="38" t="s">
        <v>124</v>
      </c>
      <c r="E36" s="218"/>
      <c r="F36" s="38" t="s">
        <v>253</v>
      </c>
      <c r="G36" s="38"/>
      <c r="H36" s="80">
        <v>44482</v>
      </c>
      <c r="I36" s="181">
        <f t="shared" si="14"/>
        <v>100</v>
      </c>
      <c r="J36" s="183">
        <f t="shared" si="15"/>
        <v>0.06</v>
      </c>
      <c r="K36" s="99">
        <v>45943</v>
      </c>
      <c r="L36" s="100">
        <v>3</v>
      </c>
      <c r="M36" s="101"/>
      <c r="N36" s="178">
        <v>300</v>
      </c>
      <c r="O36" s="175">
        <v>5000</v>
      </c>
      <c r="P36" s="108">
        <v>0.01</v>
      </c>
      <c r="Q36" s="174">
        <v>500</v>
      </c>
      <c r="R36" s="108">
        <v>0.08</v>
      </c>
      <c r="S36" s="190">
        <v>44935</v>
      </c>
      <c r="T36" s="244">
        <v>15119</v>
      </c>
      <c r="U36" s="244">
        <v>2941</v>
      </c>
      <c r="V36" s="115">
        <v>45078.362800925926</v>
      </c>
      <c r="W36" s="246">
        <v>19721</v>
      </c>
      <c r="X36" s="246">
        <v>4079</v>
      </c>
      <c r="Y36" s="126">
        <f t="shared" si="2"/>
        <v>4.7127810955268377</v>
      </c>
      <c r="Z36" s="30">
        <f t="shared" si="17"/>
        <v>4602</v>
      </c>
      <c r="AA36" s="30">
        <f t="shared" si="17"/>
        <v>1138</v>
      </c>
      <c r="AB36" s="85">
        <f t="shared" si="4"/>
        <v>976.49347735841457</v>
      </c>
      <c r="AC36" s="85">
        <f t="shared" si="5"/>
        <v>241.47100765620942</v>
      </c>
      <c r="AD36" s="32">
        <f t="shared" si="6"/>
        <v>-690.17318930825218</v>
      </c>
      <c r="AE36" s="32">
        <f t="shared" si="7"/>
        <v>74.804340989542766</v>
      </c>
      <c r="AF36" s="94">
        <f t="shared" si="8"/>
        <v>-3252.6351592113961</v>
      </c>
      <c r="AG36" s="94">
        <f t="shared" si="9"/>
        <v>352.5364840788605</v>
      </c>
      <c r="AH36" s="86">
        <f t="shared" si="10"/>
        <v>-32.526351592113961</v>
      </c>
      <c r="AI36" s="86">
        <f t="shared" si="11"/>
        <v>28.202918726308841</v>
      </c>
      <c r="AJ36" s="91">
        <f t="shared" si="16"/>
        <v>0.98604999999999998</v>
      </c>
      <c r="AK36" s="91">
        <f t="shared" si="16"/>
        <v>0.33991666666666664</v>
      </c>
      <c r="AL36" s="173">
        <v>20000</v>
      </c>
      <c r="AM36" s="173">
        <v>12000</v>
      </c>
      <c r="AN36" s="250">
        <v>8511</v>
      </c>
      <c r="AO36" s="215">
        <v>3</v>
      </c>
      <c r="AP36" s="215">
        <v>1</v>
      </c>
      <c r="AQ36" s="188">
        <v>45124</v>
      </c>
      <c r="AR36" s="7" t="s">
        <v>342</v>
      </c>
      <c r="AS36" s="53" t="s">
        <v>333</v>
      </c>
      <c r="AT36" s="35"/>
    </row>
    <row r="37" spans="2:46" x14ac:dyDescent="0.25">
      <c r="B37" s="7" t="s">
        <v>201</v>
      </c>
      <c r="C37" s="174" t="s">
        <v>196</v>
      </c>
      <c r="D37" s="38" t="s">
        <v>194</v>
      </c>
      <c r="E37" s="218"/>
      <c r="F37" s="38" t="s">
        <v>197</v>
      </c>
      <c r="G37" s="38"/>
      <c r="H37" s="80">
        <v>44652</v>
      </c>
      <c r="I37" s="181">
        <f t="shared" si="14"/>
        <v>110</v>
      </c>
      <c r="J37" s="183">
        <f t="shared" si="15"/>
        <v>6.6000000000000003E-2</v>
      </c>
      <c r="K37" s="99">
        <v>46112</v>
      </c>
      <c r="L37" s="100">
        <v>1</v>
      </c>
      <c r="M37" s="101">
        <v>110</v>
      </c>
      <c r="N37" s="101"/>
      <c r="O37" s="267">
        <f>5000/3</f>
        <v>1666.6666666666667</v>
      </c>
      <c r="P37" s="268">
        <v>0.01</v>
      </c>
      <c r="Q37" s="103">
        <f>250/3</f>
        <v>83.333333333333329</v>
      </c>
      <c r="R37" s="108">
        <v>0.08</v>
      </c>
      <c r="S37" s="190">
        <v>44927</v>
      </c>
      <c r="T37" s="244">
        <v>36893</v>
      </c>
      <c r="U37" s="244">
        <v>2133</v>
      </c>
      <c r="V37" s="115">
        <v>45078.001793981479</v>
      </c>
      <c r="W37" s="246">
        <v>50055</v>
      </c>
      <c r="X37" s="246">
        <v>3566</v>
      </c>
      <c r="Y37" s="126">
        <f t="shared" si="2"/>
        <v>4.9638985529743209</v>
      </c>
      <c r="Z37" s="30">
        <f t="shared" si="17"/>
        <v>13162</v>
      </c>
      <c r="AA37" s="30">
        <f t="shared" si="17"/>
        <v>1433</v>
      </c>
      <c r="AB37" s="85">
        <f t="shared" si="4"/>
        <v>2651.5449217054315</v>
      </c>
      <c r="AC37" s="85">
        <f t="shared" si="5"/>
        <v>288.68438480503596</v>
      </c>
      <c r="AD37" s="32">
        <f t="shared" si="6"/>
        <v>984.87825503876479</v>
      </c>
      <c r="AE37" s="32">
        <f t="shared" si="7"/>
        <v>205.35105147170265</v>
      </c>
      <c r="AF37" s="94">
        <f t="shared" si="8"/>
        <v>4888.8357450427984</v>
      </c>
      <c r="AG37" s="94">
        <f t="shared" si="9"/>
        <v>1019.3417872521401</v>
      </c>
      <c r="AH37" s="86">
        <f t="shared" si="10"/>
        <v>48.888357450427982</v>
      </c>
      <c r="AI37" s="86">
        <f t="shared" si="11"/>
        <v>81.547342980171209</v>
      </c>
      <c r="AJ37" s="91">
        <f t="shared" si="16"/>
        <v>2.5027499999999998</v>
      </c>
      <c r="AK37" s="91">
        <f t="shared" si="16"/>
        <v>0.29716666666666669</v>
      </c>
      <c r="AL37" s="173">
        <v>20000</v>
      </c>
      <c r="AM37" s="173">
        <v>12000</v>
      </c>
      <c r="AN37" s="250">
        <v>8531</v>
      </c>
      <c r="AO37" s="215">
        <v>4</v>
      </c>
      <c r="AP37" s="215">
        <v>1</v>
      </c>
      <c r="AQ37" s="188">
        <v>45124</v>
      </c>
      <c r="AR37" s="7" t="s">
        <v>343</v>
      </c>
      <c r="AS37">
        <v>0</v>
      </c>
      <c r="AT37" s="35"/>
    </row>
    <row r="38" spans="2:46" x14ac:dyDescent="0.25">
      <c r="B38" t="s">
        <v>344</v>
      </c>
      <c r="C38" s="174" t="s">
        <v>345</v>
      </c>
      <c r="D38" s="38" t="s">
        <v>194</v>
      </c>
      <c r="E38" s="218"/>
      <c r="F38" s="38" t="s">
        <v>346</v>
      </c>
      <c r="G38" s="38"/>
      <c r="H38" s="199">
        <v>45110</v>
      </c>
      <c r="I38" s="181">
        <f t="shared" si="14"/>
        <v>117</v>
      </c>
      <c r="J38" s="183">
        <f t="shared" si="15"/>
        <v>7.0199999999999999E-2</v>
      </c>
      <c r="K38" s="99">
        <v>46571</v>
      </c>
      <c r="L38" s="100">
        <v>3</v>
      </c>
      <c r="M38" s="101"/>
      <c r="N38" s="101">
        <v>351</v>
      </c>
      <c r="O38" s="267">
        <v>5000</v>
      </c>
      <c r="P38" s="268">
        <v>0.01</v>
      </c>
      <c r="Q38" s="103">
        <v>500</v>
      </c>
      <c r="R38" s="108">
        <v>0.08</v>
      </c>
      <c r="S38" s="190"/>
      <c r="T38" s="244">
        <v>0</v>
      </c>
      <c r="U38" s="244">
        <v>0</v>
      </c>
      <c r="V38" s="115"/>
      <c r="W38" s="246"/>
      <c r="X38" s="246"/>
      <c r="Y38" s="126">
        <f t="shared" si="2"/>
        <v>0</v>
      </c>
      <c r="Z38" s="30">
        <f t="shared" si="17"/>
        <v>0</v>
      </c>
      <c r="AA38" s="30">
        <f t="shared" si="17"/>
        <v>0</v>
      </c>
      <c r="AB38" s="85" t="e">
        <f t="shared" si="4"/>
        <v>#DIV/0!</v>
      </c>
      <c r="AC38" s="85" t="e">
        <f t="shared" si="5"/>
        <v>#DIV/0!</v>
      </c>
      <c r="AD38" s="32" t="e">
        <f t="shared" si="6"/>
        <v>#DIV/0!</v>
      </c>
      <c r="AE38" s="32" t="e">
        <f t="shared" si="7"/>
        <v>#DIV/0!</v>
      </c>
      <c r="AF38" s="94" t="e">
        <f t="shared" si="8"/>
        <v>#DIV/0!</v>
      </c>
      <c r="AG38" s="94" t="e">
        <f t="shared" si="9"/>
        <v>#DIV/0!</v>
      </c>
      <c r="AH38" s="86" t="e">
        <f t="shared" si="10"/>
        <v>#DIV/0!</v>
      </c>
      <c r="AI38" s="86" t="e">
        <f t="shared" si="11"/>
        <v>#DIV/0!</v>
      </c>
      <c r="AJ38" s="91">
        <f t="shared" si="16"/>
        <v>0</v>
      </c>
      <c r="AK38" s="91">
        <f t="shared" si="16"/>
        <v>0</v>
      </c>
      <c r="AL38" s="173">
        <v>20000</v>
      </c>
      <c r="AM38" s="173">
        <v>12000</v>
      </c>
      <c r="AN38" s="250">
        <v>8531</v>
      </c>
      <c r="AO38" s="215">
        <v>2</v>
      </c>
      <c r="AP38" s="215">
        <v>1</v>
      </c>
      <c r="AQ38" s="188">
        <v>45124</v>
      </c>
      <c r="AR38" s="7" t="s">
        <v>347</v>
      </c>
      <c r="AS38">
        <v>0</v>
      </c>
      <c r="AT38" s="35"/>
    </row>
    <row r="39" spans="2:46" x14ac:dyDescent="0.25">
      <c r="B39" s="7" t="s">
        <v>289</v>
      </c>
      <c r="C39" s="174" t="s">
        <v>291</v>
      </c>
      <c r="D39" s="38" t="s">
        <v>194</v>
      </c>
      <c r="E39" s="218"/>
      <c r="F39" s="38" t="s">
        <v>290</v>
      </c>
      <c r="G39" s="38"/>
      <c r="H39" s="199">
        <v>45051</v>
      </c>
      <c r="I39" s="181"/>
      <c r="J39" s="183"/>
      <c r="K39" s="99">
        <v>46511</v>
      </c>
      <c r="L39" s="100">
        <v>3</v>
      </c>
      <c r="M39" s="101"/>
      <c r="N39" s="101">
        <v>390</v>
      </c>
      <c r="O39" s="267">
        <v>5000</v>
      </c>
      <c r="P39" s="268">
        <v>0.01</v>
      </c>
      <c r="Q39" s="103">
        <v>500</v>
      </c>
      <c r="R39" s="108">
        <v>0.08</v>
      </c>
      <c r="S39" s="264">
        <v>45051</v>
      </c>
      <c r="T39" s="244">
        <v>0</v>
      </c>
      <c r="U39" s="244">
        <v>0</v>
      </c>
      <c r="V39" s="252"/>
      <c r="W39" s="266"/>
      <c r="X39" s="266"/>
      <c r="Y39" s="126">
        <f t="shared" si="2"/>
        <v>-1480.9664694280077</v>
      </c>
      <c r="Z39" s="30">
        <f t="shared" si="17"/>
        <v>0</v>
      </c>
      <c r="AA39" s="30">
        <f t="shared" si="17"/>
        <v>0</v>
      </c>
      <c r="AB39" s="85">
        <f t="shared" si="4"/>
        <v>0</v>
      </c>
      <c r="AC39" s="85">
        <f t="shared" si="5"/>
        <v>0</v>
      </c>
      <c r="AD39" s="32">
        <f t="shared" si="6"/>
        <v>-1666.6666666666667</v>
      </c>
      <c r="AE39" s="32">
        <f t="shared" si="7"/>
        <v>-166.66666666666666</v>
      </c>
      <c r="AF39" s="94">
        <f t="shared" si="8"/>
        <v>2468277.4490466798</v>
      </c>
      <c r="AG39" s="94">
        <f t="shared" si="9"/>
        <v>246827.74490466792</v>
      </c>
      <c r="AH39" s="86">
        <f t="shared" si="10"/>
        <v>24682.7744904668</v>
      </c>
      <c r="AI39" s="86">
        <f t="shared" si="11"/>
        <v>19746.219592373436</v>
      </c>
      <c r="AJ39" s="91">
        <f t="shared" si="16"/>
        <v>0</v>
      </c>
      <c r="AK39" s="91">
        <f t="shared" si="16"/>
        <v>0</v>
      </c>
      <c r="AL39" s="173">
        <v>20000</v>
      </c>
      <c r="AM39" s="173">
        <v>12000</v>
      </c>
      <c r="AN39" s="250">
        <v>8531</v>
      </c>
      <c r="AO39" s="215">
        <v>2</v>
      </c>
      <c r="AP39" s="215">
        <v>1</v>
      </c>
      <c r="AQ39" s="188">
        <v>45124</v>
      </c>
      <c r="AR39" s="7" t="s">
        <v>348</v>
      </c>
      <c r="AS39">
        <v>0</v>
      </c>
      <c r="AT39" s="35"/>
    </row>
    <row r="40" spans="2:46" x14ac:dyDescent="0.25">
      <c r="B40" s="97"/>
      <c r="C40" s="174" t="s">
        <v>81</v>
      </c>
      <c r="D40" s="38" t="s">
        <v>82</v>
      </c>
      <c r="E40" s="218"/>
      <c r="F40" s="249"/>
      <c r="G40" s="38" t="s">
        <v>181</v>
      </c>
      <c r="H40" s="80">
        <v>44247</v>
      </c>
      <c r="I40" s="181">
        <f t="shared" ref="I40:I56" si="18">IF(M40="",N40/L40,M40)</f>
        <v>50</v>
      </c>
      <c r="J40" s="183">
        <f t="shared" ref="J40:J56" si="19">I40/(O40/L40)</f>
        <v>0.05</v>
      </c>
      <c r="K40" s="273">
        <v>45342</v>
      </c>
      <c r="L40" s="100">
        <v>3</v>
      </c>
      <c r="M40" s="101"/>
      <c r="N40" s="101">
        <v>150</v>
      </c>
      <c r="O40" s="267">
        <v>3000</v>
      </c>
      <c r="P40" s="268">
        <v>0.01</v>
      </c>
      <c r="Q40" s="103">
        <v>300</v>
      </c>
      <c r="R40" s="173">
        <v>0.09</v>
      </c>
      <c r="S40" s="190">
        <v>44943</v>
      </c>
      <c r="T40" s="244">
        <v>2218</v>
      </c>
      <c r="U40" s="244">
        <v>8129</v>
      </c>
      <c r="V40" s="115">
        <v>45098</v>
      </c>
      <c r="W40" s="246">
        <v>2943</v>
      </c>
      <c r="X40" s="246">
        <v>9837</v>
      </c>
      <c r="Y40" s="126">
        <f t="shared" si="2"/>
        <v>5.095332018408941</v>
      </c>
      <c r="Z40" s="30">
        <f t="shared" si="17"/>
        <v>725</v>
      </c>
      <c r="AA40" s="30">
        <f t="shared" si="17"/>
        <v>1708</v>
      </c>
      <c r="AB40" s="85">
        <f t="shared" si="4"/>
        <v>142.28709677419357</v>
      </c>
      <c r="AC40" s="85">
        <f t="shared" si="5"/>
        <v>335.20877419354844</v>
      </c>
      <c r="AD40" s="32">
        <f t="shared" si="6"/>
        <v>-857.71290322580649</v>
      </c>
      <c r="AE40" s="32">
        <f t="shared" si="7"/>
        <v>235.20877419354844</v>
      </c>
      <c r="AF40" s="94">
        <f t="shared" si="8"/>
        <v>-4370.3320184089416</v>
      </c>
      <c r="AG40" s="94">
        <f t="shared" si="9"/>
        <v>1198.466798159106</v>
      </c>
      <c r="AH40" s="86">
        <f t="shared" si="10"/>
        <v>-43.703320184089414</v>
      </c>
      <c r="AI40" s="86">
        <f t="shared" si="11"/>
        <v>107.86201183431953</v>
      </c>
      <c r="AJ40" s="91">
        <f t="shared" si="16"/>
        <v>0.58860000000000001</v>
      </c>
      <c r="AK40" s="91">
        <f t="shared" si="16"/>
        <v>2.4592499999999999</v>
      </c>
      <c r="AL40" s="173">
        <v>5000</v>
      </c>
      <c r="AM40" s="173">
        <v>4000</v>
      </c>
      <c r="AN40" s="250" t="s">
        <v>255</v>
      </c>
      <c r="AO40" s="215">
        <v>3</v>
      </c>
      <c r="AP40" s="215">
        <v>2</v>
      </c>
      <c r="AQ40" s="274">
        <v>44942</v>
      </c>
      <c r="AR40" s="7" t="s">
        <v>220</v>
      </c>
      <c r="AS40">
        <v>0</v>
      </c>
      <c r="AT40" s="35"/>
    </row>
    <row r="41" spans="2:46" x14ac:dyDescent="0.25">
      <c r="B41" s="96"/>
      <c r="C41" s="174" t="s">
        <v>81</v>
      </c>
      <c r="D41" s="38" t="s">
        <v>82</v>
      </c>
      <c r="E41" s="218"/>
      <c r="F41" s="249"/>
      <c r="G41" s="38" t="s">
        <v>254</v>
      </c>
      <c r="H41" s="80">
        <v>44440</v>
      </c>
      <c r="I41" s="181">
        <f t="shared" si="18"/>
        <v>50</v>
      </c>
      <c r="J41" s="183">
        <f t="shared" si="19"/>
        <v>0.05</v>
      </c>
      <c r="K41" s="170">
        <v>45536</v>
      </c>
      <c r="L41" s="100">
        <v>3</v>
      </c>
      <c r="M41" s="101"/>
      <c r="N41" s="101">
        <v>150</v>
      </c>
      <c r="O41" s="267">
        <v>3000</v>
      </c>
      <c r="P41" s="268">
        <v>0.01</v>
      </c>
      <c r="Q41" s="103">
        <v>300</v>
      </c>
      <c r="R41" s="173">
        <v>0.09</v>
      </c>
      <c r="S41" s="190">
        <v>44943</v>
      </c>
      <c r="T41" s="244">
        <v>9757</v>
      </c>
      <c r="U41" s="244">
        <v>5548</v>
      </c>
      <c r="V41" s="115">
        <v>45100</v>
      </c>
      <c r="W41" s="246">
        <v>12500</v>
      </c>
      <c r="X41" s="246">
        <v>7174</v>
      </c>
      <c r="Y41" s="126">
        <f t="shared" si="2"/>
        <v>5.1610782380013145</v>
      </c>
      <c r="Z41" s="30">
        <f t="shared" si="17"/>
        <v>2743</v>
      </c>
      <c r="AA41" s="30">
        <f t="shared" si="17"/>
        <v>1626</v>
      </c>
      <c r="AB41" s="85">
        <f t="shared" si="4"/>
        <v>531.4780891719746</v>
      </c>
      <c r="AC41" s="85">
        <f t="shared" si="5"/>
        <v>315.05044585987264</v>
      </c>
      <c r="AD41" s="32">
        <f t="shared" si="6"/>
        <v>-468.5219108280254</v>
      </c>
      <c r="AE41" s="32">
        <f t="shared" si="7"/>
        <v>215.05044585987264</v>
      </c>
      <c r="AF41" s="94">
        <f t="shared" si="8"/>
        <v>-2418.0782380013143</v>
      </c>
      <c r="AG41" s="94">
        <f t="shared" si="9"/>
        <v>1109.8921761998686</v>
      </c>
      <c r="AH41" s="86">
        <f t="shared" si="10"/>
        <v>-24.180782380013142</v>
      </c>
      <c r="AI41" s="86">
        <f t="shared" si="11"/>
        <v>99.890295857988164</v>
      </c>
      <c r="AJ41" s="91">
        <f t="shared" si="16"/>
        <v>2.5</v>
      </c>
      <c r="AK41" s="91">
        <f t="shared" si="16"/>
        <v>1.7935000000000001</v>
      </c>
      <c r="AL41" s="173">
        <v>5000</v>
      </c>
      <c r="AM41" s="173">
        <v>4000</v>
      </c>
      <c r="AN41" s="250" t="s">
        <v>255</v>
      </c>
      <c r="AO41" s="215">
        <v>2</v>
      </c>
      <c r="AP41" s="215">
        <v>2</v>
      </c>
      <c r="AQ41" s="274">
        <v>44942</v>
      </c>
      <c r="AR41" s="7" t="s">
        <v>220</v>
      </c>
      <c r="AS41">
        <v>0</v>
      </c>
      <c r="AT41" s="35"/>
    </row>
    <row r="42" spans="2:46" x14ac:dyDescent="0.25">
      <c r="B42" s="7" t="s">
        <v>169</v>
      </c>
      <c r="C42" s="174" t="s">
        <v>81</v>
      </c>
      <c r="D42" s="38" t="s">
        <v>124</v>
      </c>
      <c r="E42" s="218"/>
      <c r="F42" s="38" t="s">
        <v>256</v>
      </c>
      <c r="G42" s="38"/>
      <c r="H42" s="80">
        <v>43833</v>
      </c>
      <c r="I42" s="181">
        <f t="shared" si="18"/>
        <v>66.666666666666671</v>
      </c>
      <c r="J42" s="183">
        <f t="shared" si="19"/>
        <v>6.6666666666666666E-2</v>
      </c>
      <c r="K42" s="273">
        <v>45657</v>
      </c>
      <c r="L42" s="100">
        <v>3</v>
      </c>
      <c r="M42" s="101"/>
      <c r="N42" s="101">
        <v>200</v>
      </c>
      <c r="O42" s="267">
        <v>3000</v>
      </c>
      <c r="P42" s="268">
        <v>0.01</v>
      </c>
      <c r="Q42" s="103">
        <v>300</v>
      </c>
      <c r="R42" s="108">
        <v>0.08</v>
      </c>
      <c r="S42" s="190">
        <v>44929</v>
      </c>
      <c r="T42" s="244">
        <v>58746</v>
      </c>
      <c r="U42" s="244">
        <v>34899</v>
      </c>
      <c r="V42" s="115">
        <v>45097.710509259261</v>
      </c>
      <c r="W42" s="246">
        <v>66550</v>
      </c>
      <c r="X42" s="246">
        <v>42552</v>
      </c>
      <c r="Y42" s="126">
        <f t="shared" si="2"/>
        <v>5.5460390946502631</v>
      </c>
      <c r="Z42" s="30">
        <f t="shared" si="17"/>
        <v>7804</v>
      </c>
      <c r="AA42" s="30">
        <f t="shared" si="17"/>
        <v>7653</v>
      </c>
      <c r="AB42" s="85">
        <f t="shared" si="4"/>
        <v>1407.1303621944853</v>
      </c>
      <c r="AC42" s="85">
        <f t="shared" si="5"/>
        <v>1379.9037239716038</v>
      </c>
      <c r="AD42" s="32">
        <f t="shared" si="6"/>
        <v>407.13036219448531</v>
      </c>
      <c r="AE42" s="32">
        <f t="shared" si="7"/>
        <v>1279.9037239716038</v>
      </c>
      <c r="AF42" s="94">
        <f t="shared" si="8"/>
        <v>2257.960905349737</v>
      </c>
      <c r="AG42" s="94">
        <f t="shared" si="9"/>
        <v>7098.3960905349741</v>
      </c>
      <c r="AH42" s="86">
        <f t="shared" si="10"/>
        <v>22.579609053497371</v>
      </c>
      <c r="AI42" s="86">
        <f t="shared" si="11"/>
        <v>567.87168724279798</v>
      </c>
      <c r="AJ42" s="91">
        <f t="shared" si="16"/>
        <v>3.3275000000000001</v>
      </c>
      <c r="AK42" s="91">
        <f t="shared" si="16"/>
        <v>3.5459999999999998</v>
      </c>
      <c r="AL42" s="173">
        <v>20000</v>
      </c>
      <c r="AM42" s="173">
        <v>12000</v>
      </c>
      <c r="AN42" s="250">
        <v>8511</v>
      </c>
      <c r="AO42" s="215">
        <v>8</v>
      </c>
      <c r="AP42" s="215">
        <v>4</v>
      </c>
      <c r="AQ42" s="188">
        <v>45124</v>
      </c>
      <c r="AR42" s="7" t="s">
        <v>349</v>
      </c>
      <c r="AS42">
        <v>0</v>
      </c>
      <c r="AT42" s="35"/>
    </row>
    <row r="43" spans="2:46" x14ac:dyDescent="0.25">
      <c r="B43" t="s">
        <v>350</v>
      </c>
      <c r="C43" s="174" t="s">
        <v>43</v>
      </c>
      <c r="D43" s="38" t="s">
        <v>194</v>
      </c>
      <c r="E43" s="218"/>
      <c r="F43" s="38" t="s">
        <v>286</v>
      </c>
      <c r="G43" s="38"/>
      <c r="H43" s="80">
        <v>44979</v>
      </c>
      <c r="I43" s="181">
        <f t="shared" si="18"/>
        <v>130</v>
      </c>
      <c r="J43" s="183">
        <f t="shared" si="19"/>
        <v>7.8E-2</v>
      </c>
      <c r="K43" s="99">
        <v>46440</v>
      </c>
      <c r="L43" s="100">
        <v>3</v>
      </c>
      <c r="M43" s="101"/>
      <c r="N43" s="101">
        <v>390</v>
      </c>
      <c r="O43" s="267">
        <v>5000</v>
      </c>
      <c r="P43" s="268">
        <v>0.01</v>
      </c>
      <c r="Q43" s="103">
        <v>500</v>
      </c>
      <c r="R43" s="108">
        <v>0.08</v>
      </c>
      <c r="S43" s="190">
        <v>44979</v>
      </c>
      <c r="T43" s="244">
        <v>0</v>
      </c>
      <c r="U43" s="244">
        <v>0</v>
      </c>
      <c r="V43" s="115">
        <v>45097.043344907404</v>
      </c>
      <c r="W43" s="246">
        <v>4161</v>
      </c>
      <c r="X43" s="246">
        <v>950</v>
      </c>
      <c r="Y43" s="126">
        <f t="shared" si="2"/>
        <v>3.8804518378502428</v>
      </c>
      <c r="Z43" s="30">
        <f t="shared" si="17"/>
        <v>4161</v>
      </c>
      <c r="AA43" s="30">
        <f t="shared" si="17"/>
        <v>950</v>
      </c>
      <c r="AB43" s="85">
        <f t="shared" si="4"/>
        <v>1072.2978080576256</v>
      </c>
      <c r="AC43" s="85">
        <f t="shared" si="5"/>
        <v>244.81685115470904</v>
      </c>
      <c r="AD43" s="32">
        <f t="shared" si="6"/>
        <v>-594.36885860904113</v>
      </c>
      <c r="AE43" s="32">
        <f t="shared" si="7"/>
        <v>78.150184488042385</v>
      </c>
      <c r="AF43" s="94">
        <f t="shared" si="8"/>
        <v>-2306.4197297504047</v>
      </c>
      <c r="AG43" s="94">
        <f t="shared" si="9"/>
        <v>303.25802702495963</v>
      </c>
      <c r="AH43" s="86">
        <f t="shared" si="10"/>
        <v>-23.064197297504048</v>
      </c>
      <c r="AI43" s="86">
        <f t="shared" si="11"/>
        <v>24.26064216199677</v>
      </c>
      <c r="AJ43" s="91">
        <f t="shared" si="16"/>
        <v>0.20805000000000001</v>
      </c>
      <c r="AK43" s="91">
        <f t="shared" si="16"/>
        <v>7.9166666666666663E-2</v>
      </c>
      <c r="AL43" s="173">
        <v>20000</v>
      </c>
      <c r="AM43" s="173">
        <v>12000</v>
      </c>
      <c r="AN43" s="250">
        <v>8531</v>
      </c>
      <c r="AO43" s="215">
        <v>2</v>
      </c>
      <c r="AP43" s="215">
        <v>1</v>
      </c>
      <c r="AQ43" s="274">
        <v>44979</v>
      </c>
      <c r="AR43" s="7" t="s">
        <v>287</v>
      </c>
      <c r="AS43">
        <v>0</v>
      </c>
      <c r="AT43" s="35"/>
    </row>
    <row r="44" spans="2:46" x14ac:dyDescent="0.25">
      <c r="B44" s="7" t="s">
        <v>282</v>
      </c>
      <c r="C44" s="174" t="s">
        <v>188</v>
      </c>
      <c r="D44" s="38" t="s">
        <v>124</v>
      </c>
      <c r="E44" s="218"/>
      <c r="F44" s="38" t="s">
        <v>189</v>
      </c>
      <c r="G44" s="38"/>
      <c r="H44" s="80">
        <v>44539</v>
      </c>
      <c r="I44" s="181">
        <f t="shared" si="18"/>
        <v>100</v>
      </c>
      <c r="J44" s="183">
        <f t="shared" si="19"/>
        <v>0.06</v>
      </c>
      <c r="K44" s="99">
        <v>46000</v>
      </c>
      <c r="L44" s="100">
        <v>3</v>
      </c>
      <c r="M44" s="101"/>
      <c r="N44" s="178">
        <v>300</v>
      </c>
      <c r="O44" s="175">
        <v>5000</v>
      </c>
      <c r="P44" s="268">
        <v>0.01</v>
      </c>
      <c r="Q44" s="103">
        <v>500</v>
      </c>
      <c r="R44" s="108">
        <v>0.08</v>
      </c>
      <c r="S44" s="190">
        <v>44942</v>
      </c>
      <c r="T44" s="244">
        <v>58083</v>
      </c>
      <c r="U44" s="244">
        <v>10994</v>
      </c>
      <c r="V44" s="115">
        <v>45097.740046296298</v>
      </c>
      <c r="W44" s="246">
        <v>79020</v>
      </c>
      <c r="X44" s="246">
        <v>12583</v>
      </c>
      <c r="Y44" s="126">
        <f t="shared" si="2"/>
        <v>5.1196596415614</v>
      </c>
      <c r="Z44" s="30">
        <f t="shared" si="17"/>
        <v>20937</v>
      </c>
      <c r="AA44" s="30">
        <f t="shared" si="17"/>
        <v>1589</v>
      </c>
      <c r="AB44" s="85">
        <f t="shared" si="4"/>
        <v>4089.5296691274984</v>
      </c>
      <c r="AC44" s="85">
        <f t="shared" si="5"/>
        <v>310.37219488195996</v>
      </c>
      <c r="AD44" s="32">
        <f t="shared" si="6"/>
        <v>2422.8630024608319</v>
      </c>
      <c r="AE44" s="32">
        <f t="shared" si="7"/>
        <v>143.7055282152933</v>
      </c>
      <c r="AF44" s="94">
        <f t="shared" si="8"/>
        <v>12404.233930730999</v>
      </c>
      <c r="AG44" s="94">
        <f t="shared" si="9"/>
        <v>735.72339307310017</v>
      </c>
      <c r="AH44" s="86">
        <f t="shared" si="10"/>
        <v>124.04233930731</v>
      </c>
      <c r="AI44" s="86">
        <f t="shared" si="11"/>
        <v>58.857871445848012</v>
      </c>
      <c r="AJ44" s="91">
        <f t="shared" si="16"/>
        <v>3.9510000000000001</v>
      </c>
      <c r="AK44" s="91">
        <f t="shared" si="16"/>
        <v>1.0485833333333334</v>
      </c>
      <c r="AL44" s="173">
        <v>20000</v>
      </c>
      <c r="AM44" s="173">
        <v>12000</v>
      </c>
      <c r="AN44" s="250">
        <v>8511</v>
      </c>
      <c r="AO44" s="215">
        <v>4</v>
      </c>
      <c r="AP44" s="215">
        <v>2</v>
      </c>
      <c r="AQ44" s="188">
        <v>45124</v>
      </c>
      <c r="AR44" s="7" t="s">
        <v>351</v>
      </c>
      <c r="AS44">
        <v>0</v>
      </c>
      <c r="AT44" s="35"/>
    </row>
    <row r="45" spans="2:46" x14ac:dyDescent="0.25">
      <c r="B45" s="7" t="s">
        <v>282</v>
      </c>
      <c r="C45" s="174" t="s">
        <v>188</v>
      </c>
      <c r="D45" s="38" t="s">
        <v>124</v>
      </c>
      <c r="E45" s="218"/>
      <c r="F45" s="38" t="s">
        <v>190</v>
      </c>
      <c r="G45" s="38"/>
      <c r="H45" s="80">
        <v>44539</v>
      </c>
      <c r="I45" s="181">
        <f t="shared" si="18"/>
        <v>100</v>
      </c>
      <c r="J45" s="183">
        <f t="shared" si="19"/>
        <v>0.06</v>
      </c>
      <c r="K45" s="99">
        <v>46000</v>
      </c>
      <c r="L45" s="100">
        <v>3</v>
      </c>
      <c r="M45" s="101"/>
      <c r="N45" s="178">
        <v>300</v>
      </c>
      <c r="O45" s="175">
        <v>5000</v>
      </c>
      <c r="P45" s="268">
        <v>0.01</v>
      </c>
      <c r="Q45" s="103">
        <v>500</v>
      </c>
      <c r="R45" s="108">
        <v>0.08</v>
      </c>
      <c r="S45" s="190">
        <v>44915</v>
      </c>
      <c r="T45" s="244">
        <v>24483</v>
      </c>
      <c r="U45" s="244">
        <v>4376</v>
      </c>
      <c r="V45" s="115">
        <v>45097.740046296298</v>
      </c>
      <c r="W45" s="246">
        <v>43056</v>
      </c>
      <c r="X45" s="246">
        <v>7586</v>
      </c>
      <c r="Y45" s="126">
        <f t="shared" si="2"/>
        <v>6.0072336060584419</v>
      </c>
      <c r="Z45" s="30">
        <f t="shared" si="17"/>
        <v>18573</v>
      </c>
      <c r="AA45" s="30">
        <f t="shared" si="17"/>
        <v>3210</v>
      </c>
      <c r="AB45" s="85">
        <f t="shared" si="4"/>
        <v>3091.7725558847378</v>
      </c>
      <c r="AC45" s="85">
        <f t="shared" si="5"/>
        <v>534.35578013191241</v>
      </c>
      <c r="AD45" s="32">
        <f t="shared" si="6"/>
        <v>1425.1058892180711</v>
      </c>
      <c r="AE45" s="32">
        <f t="shared" si="7"/>
        <v>367.68911346524578</v>
      </c>
      <c r="AF45" s="94">
        <f t="shared" si="8"/>
        <v>8560.9439899025947</v>
      </c>
      <c r="AG45" s="94">
        <f t="shared" si="9"/>
        <v>2208.7943989902601</v>
      </c>
      <c r="AH45" s="86">
        <f t="shared" si="10"/>
        <v>85.609439899025944</v>
      </c>
      <c r="AI45" s="86">
        <f t="shared" si="11"/>
        <v>176.70355191922081</v>
      </c>
      <c r="AJ45" s="91">
        <f t="shared" si="16"/>
        <v>2.1528</v>
      </c>
      <c r="AK45" s="91">
        <f t="shared" si="16"/>
        <v>0.63216666666666665</v>
      </c>
      <c r="AL45" s="173">
        <v>20000</v>
      </c>
      <c r="AM45" s="173">
        <v>12000</v>
      </c>
      <c r="AN45" s="250">
        <v>8511</v>
      </c>
      <c r="AO45" s="215">
        <v>2</v>
      </c>
      <c r="AP45" s="215">
        <v>1</v>
      </c>
      <c r="AQ45" s="188">
        <v>45124</v>
      </c>
      <c r="AR45" s="7" t="s">
        <v>352</v>
      </c>
      <c r="AS45">
        <v>0</v>
      </c>
      <c r="AT45" s="35"/>
    </row>
    <row r="46" spans="2:46" x14ac:dyDescent="0.25">
      <c r="B46" s="7" t="s">
        <v>170</v>
      </c>
      <c r="C46" s="174" t="s">
        <v>89</v>
      </c>
      <c r="D46" s="38" t="s">
        <v>13</v>
      </c>
      <c r="E46" s="218"/>
      <c r="F46" s="38" t="s">
        <v>257</v>
      </c>
      <c r="G46" s="38"/>
      <c r="H46" s="80">
        <v>43440</v>
      </c>
      <c r="I46" s="181">
        <f t="shared" si="18"/>
        <v>66.666666666666671</v>
      </c>
      <c r="J46" s="183">
        <f t="shared" si="19"/>
        <v>6.6666666666666666E-2</v>
      </c>
      <c r="K46" s="273">
        <v>45261</v>
      </c>
      <c r="L46" s="100">
        <v>3</v>
      </c>
      <c r="M46" s="101"/>
      <c r="N46" s="101">
        <v>200</v>
      </c>
      <c r="O46" s="267">
        <v>3000</v>
      </c>
      <c r="P46" s="268">
        <v>0.01</v>
      </c>
      <c r="Q46" s="103">
        <v>300</v>
      </c>
      <c r="R46" s="185">
        <v>8.1000000000000003E-2</v>
      </c>
      <c r="S46" s="190">
        <v>44928</v>
      </c>
      <c r="T46" s="244">
        <v>110511</v>
      </c>
      <c r="U46" s="244">
        <v>28981</v>
      </c>
      <c r="V46" s="115">
        <v>45097.693495370368</v>
      </c>
      <c r="W46" s="246">
        <v>117398</v>
      </c>
      <c r="X46" s="246">
        <v>31521</v>
      </c>
      <c r="Y46" s="126">
        <f t="shared" si="2"/>
        <v>5.5783529050087965</v>
      </c>
      <c r="Z46" s="30">
        <f t="shared" si="17"/>
        <v>6887</v>
      </c>
      <c r="AA46" s="30">
        <f t="shared" si="17"/>
        <v>2540</v>
      </c>
      <c r="AB46" s="85">
        <f t="shared" si="4"/>
        <v>1234.5938160018832</v>
      </c>
      <c r="AC46" s="85">
        <f t="shared" si="5"/>
        <v>455.33153661170076</v>
      </c>
      <c r="AD46" s="32">
        <f t="shared" si="6"/>
        <v>234.59381600188317</v>
      </c>
      <c r="AE46" s="32">
        <f t="shared" si="7"/>
        <v>355.33153661170076</v>
      </c>
      <c r="AF46" s="94">
        <f t="shared" si="8"/>
        <v>1308.6470949912041</v>
      </c>
      <c r="AG46" s="94">
        <f t="shared" si="9"/>
        <v>1982.1647094991204</v>
      </c>
      <c r="AH46" s="86">
        <f t="shared" si="10"/>
        <v>13.086470949912041</v>
      </c>
      <c r="AI46" s="86">
        <f t="shared" si="11"/>
        <v>160.55534146942875</v>
      </c>
      <c r="AJ46" s="91">
        <f t="shared" si="16"/>
        <v>5.8699000000000003</v>
      </c>
      <c r="AK46" s="91">
        <f t="shared" si="16"/>
        <v>2.6267499999999999</v>
      </c>
      <c r="AL46" s="173">
        <v>20000</v>
      </c>
      <c r="AM46" s="173">
        <v>12000</v>
      </c>
      <c r="AN46" s="250">
        <v>8511</v>
      </c>
      <c r="AO46" s="215">
        <v>8</v>
      </c>
      <c r="AP46" s="215">
        <v>2</v>
      </c>
      <c r="AQ46" s="188">
        <v>45124</v>
      </c>
      <c r="AR46" s="7" t="s">
        <v>353</v>
      </c>
      <c r="AS46" s="53" t="s">
        <v>333</v>
      </c>
      <c r="AT46" s="35"/>
    </row>
    <row r="47" spans="2:46" x14ac:dyDescent="0.25">
      <c r="B47" s="7" t="s">
        <v>171</v>
      </c>
      <c r="C47" s="174" t="s">
        <v>0</v>
      </c>
      <c r="D47" s="38" t="s">
        <v>216</v>
      </c>
      <c r="E47" s="219" t="s">
        <v>138</v>
      </c>
      <c r="F47" s="38" t="s">
        <v>258</v>
      </c>
      <c r="G47" s="38"/>
      <c r="H47" s="80">
        <v>44813</v>
      </c>
      <c r="I47" s="181">
        <f t="shared" si="18"/>
        <v>170</v>
      </c>
      <c r="J47" s="183">
        <f t="shared" si="19"/>
        <v>2.8333333333333332E-2</v>
      </c>
      <c r="K47" s="99">
        <v>46274</v>
      </c>
      <c r="L47" s="100">
        <v>1</v>
      </c>
      <c r="M47" s="101">
        <v>170</v>
      </c>
      <c r="N47" s="101">
        <v>0</v>
      </c>
      <c r="O47" s="267">
        <v>6000</v>
      </c>
      <c r="P47" s="268">
        <v>0.01</v>
      </c>
      <c r="Q47" s="165"/>
      <c r="R47" s="165"/>
      <c r="S47" s="190">
        <v>44951</v>
      </c>
      <c r="T47" s="244">
        <v>26664</v>
      </c>
      <c r="U47" s="169"/>
      <c r="V47" s="115">
        <v>45091.435162037036</v>
      </c>
      <c r="W47" s="246">
        <v>57035</v>
      </c>
      <c r="X47" s="245"/>
      <c r="Y47" s="126">
        <f t="shared" si="2"/>
        <v>4.6165405008887639</v>
      </c>
      <c r="Z47" s="30">
        <f t="shared" si="17"/>
        <v>30371</v>
      </c>
      <c r="AA47" s="30">
        <f t="shared" si="17"/>
        <v>0</v>
      </c>
      <c r="AB47" s="85">
        <f t="shared" si="4"/>
        <v>6578.7357425225791</v>
      </c>
      <c r="AC47" s="85">
        <f t="shared" si="5"/>
        <v>0</v>
      </c>
      <c r="AD47" s="32">
        <f t="shared" si="6"/>
        <v>578.73574252257913</v>
      </c>
      <c r="AE47" s="32">
        <f t="shared" si="7"/>
        <v>0</v>
      </c>
      <c r="AF47" s="94">
        <f t="shared" si="8"/>
        <v>2671.756994667418</v>
      </c>
      <c r="AG47" s="94">
        <f t="shared" si="9"/>
        <v>0</v>
      </c>
      <c r="AH47" s="86">
        <f t="shared" si="10"/>
        <v>26.717569946674182</v>
      </c>
      <c r="AI47" s="86">
        <f t="shared" si="11"/>
        <v>0</v>
      </c>
      <c r="AJ47" s="91">
        <f t="shared" si="16"/>
        <v>1.425875</v>
      </c>
      <c r="AK47" s="165"/>
      <c r="AL47" s="173">
        <v>40000</v>
      </c>
      <c r="AM47" s="251"/>
      <c r="AN47" s="250">
        <v>7530</v>
      </c>
      <c r="AO47" s="215">
        <v>3</v>
      </c>
      <c r="AP47" s="165"/>
      <c r="AQ47" s="274">
        <v>44942</v>
      </c>
      <c r="AR47" s="7"/>
      <c r="AS47">
        <v>0</v>
      </c>
      <c r="AT47" s="35"/>
    </row>
    <row r="48" spans="2:46" x14ac:dyDescent="0.25">
      <c r="B48" s="7" t="s">
        <v>171</v>
      </c>
      <c r="C48" s="174" t="s">
        <v>0</v>
      </c>
      <c r="D48" s="38" t="s">
        <v>194</v>
      </c>
      <c r="E48" s="218"/>
      <c r="F48" s="38" t="s">
        <v>237</v>
      </c>
      <c r="G48" s="38"/>
      <c r="H48" s="80">
        <v>44939</v>
      </c>
      <c r="I48" s="181">
        <f t="shared" si="18"/>
        <v>130</v>
      </c>
      <c r="J48" s="183">
        <f t="shared" si="19"/>
        <v>2.5999999999999999E-2</v>
      </c>
      <c r="K48" s="99">
        <v>46400</v>
      </c>
      <c r="L48" s="100">
        <v>1</v>
      </c>
      <c r="M48" s="101">
        <v>130</v>
      </c>
      <c r="N48" s="101"/>
      <c r="O48" s="267">
        <v>5000</v>
      </c>
      <c r="P48" s="268">
        <v>0.01</v>
      </c>
      <c r="Q48" s="103">
        <v>500</v>
      </c>
      <c r="R48" s="108">
        <v>0.08</v>
      </c>
      <c r="S48" s="190">
        <v>44939</v>
      </c>
      <c r="T48" s="244">
        <v>0</v>
      </c>
      <c r="U48" s="244">
        <v>0</v>
      </c>
      <c r="V48" s="115">
        <v>45100</v>
      </c>
      <c r="W48" s="246">
        <v>18447</v>
      </c>
      <c r="X48" s="246">
        <v>3010</v>
      </c>
      <c r="Y48" s="126">
        <f t="shared" si="2"/>
        <v>5.2925706771860614</v>
      </c>
      <c r="Z48" s="30">
        <f t="shared" si="17"/>
        <v>18447</v>
      </c>
      <c r="AA48" s="30">
        <f t="shared" si="17"/>
        <v>3010</v>
      </c>
      <c r="AB48" s="85">
        <f t="shared" si="4"/>
        <v>3485.4518012422363</v>
      </c>
      <c r="AC48" s="85">
        <f t="shared" si="5"/>
        <v>568.7217391304348</v>
      </c>
      <c r="AD48" s="32">
        <f t="shared" si="6"/>
        <v>-1514.5481987577637</v>
      </c>
      <c r="AE48" s="32">
        <f t="shared" si="7"/>
        <v>68.721739130434798</v>
      </c>
      <c r="AF48" s="94">
        <f t="shared" si="8"/>
        <v>-8015.853385930307</v>
      </c>
      <c r="AG48" s="94">
        <f t="shared" si="9"/>
        <v>363.71466140696919</v>
      </c>
      <c r="AH48" s="86">
        <f t="shared" si="10"/>
        <v>-80.158533859303077</v>
      </c>
      <c r="AI48" s="86">
        <f t="shared" si="11"/>
        <v>29.097172912557536</v>
      </c>
      <c r="AJ48" s="91">
        <f t="shared" si="16"/>
        <v>0.92235</v>
      </c>
      <c r="AK48" s="91">
        <f>X48/AM48</f>
        <v>0.25083333333333335</v>
      </c>
      <c r="AL48" s="173">
        <v>20000</v>
      </c>
      <c r="AM48" s="173">
        <v>12000</v>
      </c>
      <c r="AN48" s="250">
        <v>8531</v>
      </c>
      <c r="AO48" s="215">
        <v>2</v>
      </c>
      <c r="AP48" s="215">
        <v>1</v>
      </c>
      <c r="AQ48" s="274">
        <v>44942</v>
      </c>
      <c r="AR48" s="7"/>
      <c r="AS48">
        <v>0</v>
      </c>
      <c r="AT48" s="35"/>
    </row>
    <row r="49" spans="2:46" x14ac:dyDescent="0.25">
      <c r="B49" s="7" t="s">
        <v>171</v>
      </c>
      <c r="C49" s="174" t="s">
        <v>0</v>
      </c>
      <c r="D49" s="38" t="s">
        <v>194</v>
      </c>
      <c r="E49" s="218"/>
      <c r="F49" s="38" t="s">
        <v>260</v>
      </c>
      <c r="G49" s="38"/>
      <c r="H49" s="80">
        <v>44762</v>
      </c>
      <c r="I49" s="181">
        <f t="shared" si="18"/>
        <v>130</v>
      </c>
      <c r="J49" s="183">
        <f t="shared" si="19"/>
        <v>2.5999999999999999E-2</v>
      </c>
      <c r="K49" s="99">
        <v>46223</v>
      </c>
      <c r="L49" s="100">
        <v>1</v>
      </c>
      <c r="M49" s="101">
        <v>130</v>
      </c>
      <c r="N49" s="101"/>
      <c r="O49" s="267">
        <v>5000</v>
      </c>
      <c r="P49" s="268">
        <v>0.01</v>
      </c>
      <c r="Q49" s="103">
        <v>500</v>
      </c>
      <c r="R49" s="108">
        <v>0.08</v>
      </c>
      <c r="S49" s="190">
        <v>44929</v>
      </c>
      <c r="T49" s="244">
        <v>8811</v>
      </c>
      <c r="U49" s="244">
        <v>4802</v>
      </c>
      <c r="V49" s="115">
        <v>45100</v>
      </c>
      <c r="W49" s="246">
        <v>16183</v>
      </c>
      <c r="X49" s="246">
        <v>10400</v>
      </c>
      <c r="Y49" s="126">
        <f t="shared" si="2"/>
        <v>5.6213017751479288</v>
      </c>
      <c r="Z49" s="30">
        <f t="shared" si="17"/>
        <v>7372</v>
      </c>
      <c r="AA49" s="30">
        <f t="shared" si="17"/>
        <v>5598</v>
      </c>
      <c r="AB49" s="85">
        <f t="shared" si="4"/>
        <v>1311.44</v>
      </c>
      <c r="AC49" s="85">
        <f t="shared" si="5"/>
        <v>995.85473684210524</v>
      </c>
      <c r="AD49" s="32">
        <f t="shared" si="6"/>
        <v>-3688.56</v>
      </c>
      <c r="AE49" s="32">
        <f t="shared" si="7"/>
        <v>495.85473684210524</v>
      </c>
      <c r="AF49" s="94">
        <f t="shared" si="8"/>
        <v>-20734.508875739644</v>
      </c>
      <c r="AG49" s="94">
        <f t="shared" si="9"/>
        <v>2787.3491124260354</v>
      </c>
      <c r="AH49" s="86">
        <f t="shared" si="10"/>
        <v>-207.34508875739644</v>
      </c>
      <c r="AI49" s="86">
        <f t="shared" si="11"/>
        <v>222.98792899408284</v>
      </c>
      <c r="AJ49" s="91">
        <f t="shared" si="16"/>
        <v>0.80915000000000004</v>
      </c>
      <c r="AK49" s="91">
        <f>X49/AM49</f>
        <v>0.8666666666666667</v>
      </c>
      <c r="AL49" s="173">
        <v>20000</v>
      </c>
      <c r="AM49" s="173">
        <v>12000</v>
      </c>
      <c r="AN49" s="250">
        <v>8531</v>
      </c>
      <c r="AO49" s="215">
        <v>3</v>
      </c>
      <c r="AP49" s="215">
        <v>2</v>
      </c>
      <c r="AQ49" s="274">
        <v>44942</v>
      </c>
      <c r="AR49" s="7"/>
      <c r="AS49">
        <v>0</v>
      </c>
      <c r="AT49" s="35"/>
    </row>
    <row r="50" spans="2:46" x14ac:dyDescent="0.25">
      <c r="B50" s="7" t="s">
        <v>171</v>
      </c>
      <c r="C50" s="174" t="s">
        <v>0</v>
      </c>
      <c r="D50" s="38" t="s">
        <v>210</v>
      </c>
      <c r="E50" s="218"/>
      <c r="F50" s="38" t="s">
        <v>259</v>
      </c>
      <c r="G50" s="38"/>
      <c r="H50" s="80">
        <v>43009</v>
      </c>
      <c r="I50" s="181">
        <f t="shared" si="18"/>
        <v>140</v>
      </c>
      <c r="J50" s="183">
        <f t="shared" si="19"/>
        <v>2.8000000000000001E-2</v>
      </c>
      <c r="K50" s="273">
        <v>45107</v>
      </c>
      <c r="L50" s="100">
        <v>1</v>
      </c>
      <c r="M50" s="101">
        <v>140</v>
      </c>
      <c r="N50" s="101">
        <v>0</v>
      </c>
      <c r="O50" s="267">
        <v>5000</v>
      </c>
      <c r="P50" s="268">
        <v>0.01</v>
      </c>
      <c r="Q50" s="276">
        <v>300</v>
      </c>
      <c r="R50" s="173">
        <v>0.09</v>
      </c>
      <c r="S50" s="190">
        <v>44928</v>
      </c>
      <c r="T50" s="244">
        <v>366411</v>
      </c>
      <c r="U50" s="244">
        <v>18624</v>
      </c>
      <c r="V50" s="115">
        <v>45090</v>
      </c>
      <c r="W50" s="246">
        <v>395883</v>
      </c>
      <c r="X50" s="246">
        <v>21430</v>
      </c>
      <c r="Y50" s="126">
        <f t="shared" si="2"/>
        <v>5.3254437869822482</v>
      </c>
      <c r="Z50" s="30">
        <f t="shared" si="17"/>
        <v>29472</v>
      </c>
      <c r="AA50" s="30">
        <f t="shared" si="17"/>
        <v>2806</v>
      </c>
      <c r="AB50" s="85">
        <f t="shared" si="4"/>
        <v>5534.1866666666674</v>
      </c>
      <c r="AC50" s="85">
        <f t="shared" si="5"/>
        <v>526.90444444444449</v>
      </c>
      <c r="AD50" s="32">
        <f t="shared" si="6"/>
        <v>534.18666666666741</v>
      </c>
      <c r="AE50" s="32">
        <f t="shared" si="7"/>
        <v>226.90444444444449</v>
      </c>
      <c r="AF50" s="94">
        <f t="shared" si="8"/>
        <v>2844.7810650887614</v>
      </c>
      <c r="AG50" s="94">
        <f t="shared" si="9"/>
        <v>1208.3668639053255</v>
      </c>
      <c r="AH50" s="86">
        <f t="shared" si="10"/>
        <v>28.447810650887615</v>
      </c>
      <c r="AI50" s="86">
        <f t="shared" si="11"/>
        <v>108.75301775147929</v>
      </c>
      <c r="AJ50" s="91">
        <f t="shared" si="16"/>
        <v>13.196099999999999</v>
      </c>
      <c r="AK50" s="91">
        <f>X50/AM50</f>
        <v>1.0714999999999999</v>
      </c>
      <c r="AL50" s="173">
        <v>30000</v>
      </c>
      <c r="AM50" s="173">
        <v>20000</v>
      </c>
      <c r="AN50" s="263">
        <v>8513</v>
      </c>
      <c r="AO50" s="215">
        <v>13</v>
      </c>
      <c r="AP50" s="215">
        <v>2</v>
      </c>
      <c r="AQ50" s="274">
        <v>44942</v>
      </c>
      <c r="AR50" s="7" t="s">
        <v>354</v>
      </c>
      <c r="AS50">
        <v>0</v>
      </c>
      <c r="AT50" s="35"/>
    </row>
    <row r="51" spans="2:46" x14ac:dyDescent="0.25">
      <c r="B51" s="7" t="s">
        <v>178</v>
      </c>
      <c r="C51" s="174" t="s">
        <v>0</v>
      </c>
      <c r="D51" s="38" t="s">
        <v>105</v>
      </c>
      <c r="E51" s="219" t="s">
        <v>138</v>
      </c>
      <c r="F51" s="38" t="s">
        <v>262</v>
      </c>
      <c r="G51" s="38"/>
      <c r="H51" s="80">
        <v>43630</v>
      </c>
      <c r="I51" s="181">
        <f t="shared" si="18"/>
        <v>120</v>
      </c>
      <c r="J51" s="183">
        <f t="shared" si="19"/>
        <v>1.2E-2</v>
      </c>
      <c r="K51" s="273">
        <v>45458</v>
      </c>
      <c r="L51" s="100">
        <v>1</v>
      </c>
      <c r="M51" s="101">
        <v>120</v>
      </c>
      <c r="N51" s="101">
        <v>0</v>
      </c>
      <c r="O51" s="267">
        <v>10000</v>
      </c>
      <c r="P51" s="108">
        <v>0.01</v>
      </c>
      <c r="Q51" s="165"/>
      <c r="R51" s="165"/>
      <c r="S51" s="190">
        <v>44935</v>
      </c>
      <c r="T51" s="244">
        <v>158730</v>
      </c>
      <c r="U51" s="169"/>
      <c r="V51" s="115">
        <v>45100</v>
      </c>
      <c r="W51" s="246">
        <v>177945</v>
      </c>
      <c r="X51" s="245"/>
      <c r="Y51" s="126">
        <f t="shared" si="2"/>
        <v>5.4240631163708084</v>
      </c>
      <c r="Z51" s="30">
        <f t="shared" si="17"/>
        <v>19215</v>
      </c>
      <c r="AA51" s="30">
        <f t="shared" si="17"/>
        <v>0</v>
      </c>
      <c r="AB51" s="85">
        <f t="shared" si="4"/>
        <v>3542.5472727272727</v>
      </c>
      <c r="AC51" s="85">
        <f t="shared" si="5"/>
        <v>0</v>
      </c>
      <c r="AD51" s="32">
        <f t="shared" si="6"/>
        <v>-6457.4527272727273</v>
      </c>
      <c r="AE51" s="32">
        <f t="shared" si="7"/>
        <v>0</v>
      </c>
      <c r="AF51" s="94">
        <f t="shared" si="8"/>
        <v>-35025.631163708087</v>
      </c>
      <c r="AG51" s="94">
        <f t="shared" si="9"/>
        <v>0</v>
      </c>
      <c r="AH51" s="86">
        <f t="shared" si="10"/>
        <v>-350.2563116370809</v>
      </c>
      <c r="AI51" s="86">
        <f t="shared" si="11"/>
        <v>0</v>
      </c>
      <c r="AJ51" s="91">
        <f t="shared" si="16"/>
        <v>5.0841428571428571</v>
      </c>
      <c r="AK51" s="165"/>
      <c r="AL51" s="173">
        <v>35000</v>
      </c>
      <c r="AM51" s="251"/>
      <c r="AN51" s="250">
        <v>7514</v>
      </c>
      <c r="AO51" s="215">
        <v>25</v>
      </c>
      <c r="AP51" s="165"/>
      <c r="AQ51" s="274">
        <v>44942</v>
      </c>
      <c r="AS51">
        <v>0</v>
      </c>
      <c r="AT51" s="35"/>
    </row>
    <row r="52" spans="2:46" x14ac:dyDescent="0.25">
      <c r="B52" s="7" t="s">
        <v>172</v>
      </c>
      <c r="C52" s="174" t="s">
        <v>0</v>
      </c>
      <c r="D52" s="38" t="s">
        <v>118</v>
      </c>
      <c r="E52" s="219" t="s">
        <v>138</v>
      </c>
      <c r="F52" s="38" t="s">
        <v>264</v>
      </c>
      <c r="G52" s="38"/>
      <c r="H52" s="80">
        <v>43875</v>
      </c>
      <c r="I52" s="181">
        <f t="shared" si="18"/>
        <v>80</v>
      </c>
      <c r="J52" s="183">
        <f t="shared" si="19"/>
        <v>1.3333333333333334E-2</v>
      </c>
      <c r="K52" s="273">
        <v>45702</v>
      </c>
      <c r="L52" s="100">
        <v>3</v>
      </c>
      <c r="M52" s="101"/>
      <c r="N52" s="101">
        <v>240</v>
      </c>
      <c r="O52" s="267">
        <v>18000</v>
      </c>
      <c r="P52" s="108">
        <v>0.01</v>
      </c>
      <c r="Q52" s="165"/>
      <c r="R52" s="165"/>
      <c r="S52" s="190">
        <v>44927</v>
      </c>
      <c r="T52" s="244">
        <v>149832</v>
      </c>
      <c r="U52" s="169"/>
      <c r="V52" s="115">
        <v>45100</v>
      </c>
      <c r="W52" s="246">
        <v>166195</v>
      </c>
      <c r="X52" s="245"/>
      <c r="Y52" s="126">
        <f t="shared" si="2"/>
        <v>5.6870479947403023</v>
      </c>
      <c r="Z52" s="30">
        <f t="shared" si="17"/>
        <v>16363</v>
      </c>
      <c r="AA52" s="30">
        <f t="shared" si="17"/>
        <v>0</v>
      </c>
      <c r="AB52" s="85">
        <f t="shared" si="4"/>
        <v>2877.239653179191</v>
      </c>
      <c r="AC52" s="85">
        <f t="shared" si="5"/>
        <v>0</v>
      </c>
      <c r="AD52" s="32">
        <f t="shared" si="6"/>
        <v>-3122.760346820809</v>
      </c>
      <c r="AE52" s="32">
        <f t="shared" si="7"/>
        <v>0</v>
      </c>
      <c r="AF52" s="94">
        <f t="shared" si="8"/>
        <v>-17759.287968441811</v>
      </c>
      <c r="AG52" s="94">
        <f t="shared" si="9"/>
        <v>0</v>
      </c>
      <c r="AH52" s="86">
        <f t="shared" si="10"/>
        <v>-177.59287968441811</v>
      </c>
      <c r="AI52" s="86">
        <f t="shared" si="11"/>
        <v>0</v>
      </c>
      <c r="AJ52" s="91">
        <f t="shared" si="16"/>
        <v>4.7484285714285717</v>
      </c>
      <c r="AK52" s="165"/>
      <c r="AL52" s="173">
        <v>35000</v>
      </c>
      <c r="AM52" s="251"/>
      <c r="AN52" s="250">
        <v>7513</v>
      </c>
      <c r="AO52" s="215">
        <v>6</v>
      </c>
      <c r="AP52" s="165"/>
      <c r="AQ52" s="274">
        <v>44942</v>
      </c>
      <c r="AS52">
        <v>0</v>
      </c>
      <c r="AT52" s="35"/>
    </row>
    <row r="53" spans="2:46" x14ac:dyDescent="0.25">
      <c r="B53" s="7" t="s">
        <v>173</v>
      </c>
      <c r="C53" s="174" t="s">
        <v>103</v>
      </c>
      <c r="D53" s="38" t="s">
        <v>13</v>
      </c>
      <c r="E53" s="218"/>
      <c r="F53" s="38" t="s">
        <v>265</v>
      </c>
      <c r="G53" s="38"/>
      <c r="H53" s="80">
        <v>43579</v>
      </c>
      <c r="I53" s="181">
        <f t="shared" si="18"/>
        <v>66.666666666666671</v>
      </c>
      <c r="J53" s="183">
        <f t="shared" si="19"/>
        <v>6.6666666666666666E-2</v>
      </c>
      <c r="K53" s="273">
        <v>45413</v>
      </c>
      <c r="L53" s="100">
        <v>3</v>
      </c>
      <c r="M53" s="101"/>
      <c r="N53" s="101">
        <v>200</v>
      </c>
      <c r="O53" s="267">
        <v>3000</v>
      </c>
      <c r="P53" s="108">
        <v>0.01</v>
      </c>
      <c r="Q53" s="103">
        <v>300</v>
      </c>
      <c r="R53" s="108">
        <v>0.08</v>
      </c>
      <c r="S53" s="190">
        <v>44928</v>
      </c>
      <c r="T53" s="244">
        <v>33663</v>
      </c>
      <c r="U53" s="244">
        <v>5225</v>
      </c>
      <c r="V53" s="115">
        <v>45096.29173611111</v>
      </c>
      <c r="W53" s="246">
        <v>38817</v>
      </c>
      <c r="X53" s="246">
        <v>5955</v>
      </c>
      <c r="Y53" s="126">
        <f t="shared" si="2"/>
        <v>5.532272718971412</v>
      </c>
      <c r="Z53" s="30">
        <f t="shared" si="17"/>
        <v>5154</v>
      </c>
      <c r="AA53" s="30">
        <f t="shared" si="17"/>
        <v>730</v>
      </c>
      <c r="AB53" s="85">
        <f t="shared" si="4"/>
        <v>931.62435436810097</v>
      </c>
      <c r="AC53" s="85">
        <f t="shared" si="5"/>
        <v>131.95300323801197</v>
      </c>
      <c r="AD53" s="32">
        <f t="shared" si="6"/>
        <v>-68.375645631899033</v>
      </c>
      <c r="AE53" s="32">
        <f t="shared" si="7"/>
        <v>31.953003238011974</v>
      </c>
      <c r="AF53" s="94">
        <f t="shared" si="8"/>
        <v>-378.27271897141179</v>
      </c>
      <c r="AG53" s="94">
        <f t="shared" si="9"/>
        <v>176.77272810285882</v>
      </c>
      <c r="AH53" s="86">
        <f t="shared" si="10"/>
        <v>-3.7827271897141181</v>
      </c>
      <c r="AI53" s="86">
        <f t="shared" si="11"/>
        <v>14.141818248228706</v>
      </c>
      <c r="AJ53" s="91">
        <f t="shared" si="16"/>
        <v>1.94085</v>
      </c>
      <c r="AK53" s="91">
        <f>X53/AM53</f>
        <v>0.49625000000000002</v>
      </c>
      <c r="AL53" s="173">
        <v>20000</v>
      </c>
      <c r="AM53" s="173">
        <v>12000</v>
      </c>
      <c r="AN53" s="250">
        <v>8511</v>
      </c>
      <c r="AO53" s="215">
        <v>4</v>
      </c>
      <c r="AP53" s="215">
        <v>1</v>
      </c>
      <c r="AQ53" s="188">
        <v>45124</v>
      </c>
      <c r="AR53" s="7" t="s">
        <v>355</v>
      </c>
      <c r="AS53" s="53" t="s">
        <v>268</v>
      </c>
      <c r="AT53" s="35"/>
    </row>
    <row r="54" spans="2:46" x14ac:dyDescent="0.25">
      <c r="B54" s="7" t="s">
        <v>174</v>
      </c>
      <c r="C54" s="174" t="s">
        <v>45</v>
      </c>
      <c r="D54" s="38" t="s">
        <v>13</v>
      </c>
      <c r="E54" s="218"/>
      <c r="F54" s="38" t="s">
        <v>266</v>
      </c>
      <c r="G54" s="38"/>
      <c r="H54" s="80">
        <v>43191</v>
      </c>
      <c r="I54" s="181">
        <f t="shared" si="18"/>
        <v>66.666666666666671</v>
      </c>
      <c r="J54" s="183">
        <f t="shared" si="19"/>
        <v>6.6666666666666666E-2</v>
      </c>
      <c r="K54" s="273">
        <v>45107</v>
      </c>
      <c r="L54" s="100">
        <v>3</v>
      </c>
      <c r="M54" s="101"/>
      <c r="N54" s="101">
        <v>200</v>
      </c>
      <c r="O54" s="267">
        <v>3000</v>
      </c>
      <c r="P54" s="268">
        <v>0.01</v>
      </c>
      <c r="Q54" s="276">
        <v>300</v>
      </c>
      <c r="R54" s="108">
        <v>0.08</v>
      </c>
      <c r="S54" s="190">
        <v>44928</v>
      </c>
      <c r="T54" s="244">
        <v>92806</v>
      </c>
      <c r="U54" s="244">
        <v>39759</v>
      </c>
      <c r="V54" s="115">
        <v>45095.441284722219</v>
      </c>
      <c r="W54" s="246">
        <v>101208</v>
      </c>
      <c r="X54" s="246">
        <v>43638</v>
      </c>
      <c r="Y54" s="126">
        <f t="shared" si="2"/>
        <v>5.504315737088076</v>
      </c>
      <c r="Z54" s="30">
        <f t="shared" si="17"/>
        <v>8402</v>
      </c>
      <c r="AA54" s="30">
        <f t="shared" si="17"/>
        <v>3879</v>
      </c>
      <c r="AB54" s="85">
        <f t="shared" si="4"/>
        <v>1526.438598604969</v>
      </c>
      <c r="AC54" s="85">
        <f t="shared" si="5"/>
        <v>704.71974815385329</v>
      </c>
      <c r="AD54" s="32">
        <f t="shared" si="6"/>
        <v>526.438598604969</v>
      </c>
      <c r="AE54" s="32">
        <f t="shared" si="7"/>
        <v>604.71974815385329</v>
      </c>
      <c r="AF54" s="94">
        <f t="shared" si="8"/>
        <v>2897.6842629119237</v>
      </c>
      <c r="AG54" s="94">
        <f t="shared" si="9"/>
        <v>3328.5684262911927</v>
      </c>
      <c r="AH54" s="86">
        <f t="shared" si="10"/>
        <v>28.976842629119236</v>
      </c>
      <c r="AI54" s="86">
        <f t="shared" si="11"/>
        <v>266.28547410329543</v>
      </c>
      <c r="AJ54" s="91">
        <f t="shared" si="16"/>
        <v>5.0603999999999996</v>
      </c>
      <c r="AK54" s="91">
        <f>X54/AM54</f>
        <v>3.6364999999999998</v>
      </c>
      <c r="AL54" s="173">
        <v>20000</v>
      </c>
      <c r="AM54" s="173">
        <v>12000</v>
      </c>
      <c r="AN54" s="250">
        <v>8511</v>
      </c>
      <c r="AO54" s="215">
        <v>9</v>
      </c>
      <c r="AP54" s="215">
        <v>5</v>
      </c>
      <c r="AQ54" s="188">
        <v>45124</v>
      </c>
      <c r="AR54" s="7" t="s">
        <v>356</v>
      </c>
      <c r="AS54">
        <v>0</v>
      </c>
      <c r="AT54" s="35"/>
    </row>
    <row r="55" spans="2:46" x14ac:dyDescent="0.25">
      <c r="B55" s="7" t="s">
        <v>175</v>
      </c>
      <c r="C55" s="174" t="s">
        <v>141</v>
      </c>
      <c r="D55" s="38" t="s">
        <v>125</v>
      </c>
      <c r="E55" s="219" t="s">
        <v>138</v>
      </c>
      <c r="F55" s="38" t="s">
        <v>143</v>
      </c>
      <c r="G55" s="38"/>
      <c r="H55" s="80">
        <v>44075</v>
      </c>
      <c r="I55" s="181">
        <f t="shared" si="18"/>
        <v>30.8</v>
      </c>
      <c r="J55" s="183">
        <f t="shared" si="19"/>
        <v>3.0800000000000001E-2</v>
      </c>
      <c r="K55" s="99">
        <v>45170</v>
      </c>
      <c r="L55" s="100">
        <v>1</v>
      </c>
      <c r="M55" s="101">
        <v>30.8</v>
      </c>
      <c r="N55" s="101"/>
      <c r="O55" s="102">
        <v>1000</v>
      </c>
      <c r="P55" s="108">
        <v>0.01</v>
      </c>
      <c r="Q55" s="166"/>
      <c r="R55" s="166"/>
      <c r="S55" s="190">
        <v>45291</v>
      </c>
      <c r="T55" s="244">
        <v>192512</v>
      </c>
      <c r="U55" s="169"/>
      <c r="V55" s="115">
        <v>45077.99827546296</v>
      </c>
      <c r="W55" s="246">
        <v>199283</v>
      </c>
      <c r="X55" s="245"/>
      <c r="Y55" s="126">
        <f t="shared" si="2"/>
        <v>-7.0020290774832343</v>
      </c>
      <c r="Z55" s="30">
        <f t="shared" si="17"/>
        <v>6771</v>
      </c>
      <c r="AA55" s="30">
        <f t="shared" si="17"/>
        <v>0</v>
      </c>
      <c r="AB55" s="85">
        <f t="shared" si="4"/>
        <v>-967.00541015658359</v>
      </c>
      <c r="AC55" s="85">
        <f t="shared" si="5"/>
        <v>0</v>
      </c>
      <c r="AD55" s="32">
        <f t="shared" si="6"/>
        <v>-1967.0054101565836</v>
      </c>
      <c r="AE55" s="32">
        <f t="shared" si="7"/>
        <v>0</v>
      </c>
      <c r="AF55" s="94">
        <f t="shared" si="8"/>
        <v>13773.029077483234</v>
      </c>
      <c r="AG55" s="94">
        <f t="shared" si="9"/>
        <v>0</v>
      </c>
      <c r="AH55" s="86">
        <f t="shared" si="10"/>
        <v>137.73029077483235</v>
      </c>
      <c r="AI55" s="86">
        <f t="shared" si="11"/>
        <v>0</v>
      </c>
      <c r="AJ55" s="91">
        <f t="shared" si="16"/>
        <v>6.6427666666666667</v>
      </c>
      <c r="AK55" s="165"/>
      <c r="AL55" s="173">
        <v>30000</v>
      </c>
      <c r="AM55" s="251"/>
      <c r="AN55" s="250">
        <v>3012</v>
      </c>
      <c r="AO55" s="215">
        <v>8</v>
      </c>
      <c r="AP55" s="177"/>
      <c r="AQ55" s="188">
        <v>45124</v>
      </c>
      <c r="AR55" s="7" t="s">
        <v>357</v>
      </c>
      <c r="AS55" s="53" t="s">
        <v>358</v>
      </c>
    </row>
    <row r="56" spans="2:46" x14ac:dyDescent="0.25">
      <c r="B56" s="7" t="s">
        <v>175</v>
      </c>
      <c r="C56" s="174" t="s">
        <v>141</v>
      </c>
      <c r="D56" s="38" t="s">
        <v>125</v>
      </c>
      <c r="E56" s="219" t="s">
        <v>138</v>
      </c>
      <c r="F56" s="38" t="s">
        <v>142</v>
      </c>
      <c r="G56" s="38"/>
      <c r="H56" s="80">
        <v>44075</v>
      </c>
      <c r="I56" s="181">
        <f t="shared" si="18"/>
        <v>30.8</v>
      </c>
      <c r="J56" s="183">
        <f t="shared" si="19"/>
        <v>3.0800000000000001E-2</v>
      </c>
      <c r="K56" s="99">
        <v>45170</v>
      </c>
      <c r="L56" s="100">
        <v>1</v>
      </c>
      <c r="M56" s="101">
        <v>30.8</v>
      </c>
      <c r="N56" s="101"/>
      <c r="O56" s="102">
        <v>1000</v>
      </c>
      <c r="P56" s="108">
        <v>0.01</v>
      </c>
      <c r="Q56" s="166"/>
      <c r="R56" s="166"/>
      <c r="S56" s="190">
        <v>45291</v>
      </c>
      <c r="T56" s="244">
        <v>139322</v>
      </c>
      <c r="U56" s="169"/>
      <c r="V56" s="115">
        <v>45077</v>
      </c>
      <c r="W56" s="246">
        <v>177656</v>
      </c>
      <c r="X56" s="245"/>
      <c r="Y56" s="126">
        <f t="shared" si="2"/>
        <v>-7.0348454963839577</v>
      </c>
      <c r="Z56" s="30">
        <f t="shared" si="17"/>
        <v>38334</v>
      </c>
      <c r="AA56" s="30">
        <f t="shared" si="17"/>
        <v>0</v>
      </c>
      <c r="AB56" s="85">
        <f t="shared" si="4"/>
        <v>-5449.1601869158876</v>
      </c>
      <c r="AC56" s="85">
        <f t="shared" si="5"/>
        <v>0</v>
      </c>
      <c r="AD56" s="32">
        <f t="shared" si="6"/>
        <v>-6449.1601869158876</v>
      </c>
      <c r="AE56" s="32">
        <f t="shared" si="7"/>
        <v>0</v>
      </c>
      <c r="AF56" s="94">
        <f t="shared" si="8"/>
        <v>45368.845496383954</v>
      </c>
      <c r="AG56" s="94">
        <f t="shared" si="9"/>
        <v>0</v>
      </c>
      <c r="AH56" s="86">
        <f t="shared" si="10"/>
        <v>453.68845496383955</v>
      </c>
      <c r="AI56" s="86">
        <f t="shared" si="11"/>
        <v>0</v>
      </c>
      <c r="AJ56" s="91">
        <f t="shared" si="16"/>
        <v>5.9218666666666664</v>
      </c>
      <c r="AK56" s="165"/>
      <c r="AL56" s="173">
        <v>30000</v>
      </c>
      <c r="AM56" s="251"/>
      <c r="AN56" s="250">
        <v>3012</v>
      </c>
      <c r="AO56" s="215">
        <v>6</v>
      </c>
      <c r="AP56" s="177"/>
      <c r="AQ56" s="188">
        <v>45124</v>
      </c>
      <c r="AR56" s="7" t="s">
        <v>359</v>
      </c>
      <c r="AS56" s="53" t="s">
        <v>358</v>
      </c>
    </row>
    <row r="57" spans="2:46" x14ac:dyDescent="0.25">
      <c r="E57" s="265"/>
      <c r="O57" s="280"/>
      <c r="P57" s="281"/>
      <c r="Q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</row>
    <row r="58" spans="2:46" x14ac:dyDescent="0.25">
      <c r="O58" s="280"/>
      <c r="P58" s="281"/>
      <c r="Q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</row>
    <row r="59" spans="2:46" x14ac:dyDescent="0.25">
      <c r="O59" s="280"/>
      <c r="P59" s="281"/>
      <c r="Q59" s="281"/>
      <c r="S59" s="281"/>
      <c r="T59" s="281"/>
      <c r="U59" s="281"/>
      <c r="V59" s="115"/>
      <c r="W59" s="246"/>
      <c r="X59" s="246"/>
      <c r="Y59" s="281"/>
      <c r="Z59" s="281"/>
      <c r="AA59" s="281"/>
      <c r="AB59" s="281"/>
    </row>
    <row r="60" spans="2:46" x14ac:dyDescent="0.25">
      <c r="B60" s="164" t="s">
        <v>360</v>
      </c>
      <c r="C60" s="53" t="s">
        <v>283</v>
      </c>
      <c r="D60" s="192" t="s">
        <v>194</v>
      </c>
      <c r="E60" s="270"/>
      <c r="F60" s="192" t="s">
        <v>284</v>
      </c>
      <c r="G60" s="282" t="s">
        <v>361</v>
      </c>
      <c r="H60" s="199">
        <v>44971</v>
      </c>
      <c r="I60" s="277">
        <f>IF(M60="",N60/L60,M60)</f>
        <v>230</v>
      </c>
      <c r="J60" s="278">
        <f>I60/(O60/L60)</f>
        <v>0.23</v>
      </c>
      <c r="K60" s="279">
        <v>46432</v>
      </c>
      <c r="L60" s="283">
        <v>1</v>
      </c>
      <c r="M60" s="271">
        <v>230</v>
      </c>
      <c r="N60" s="271"/>
      <c r="O60" s="272">
        <v>1000</v>
      </c>
      <c r="P60" s="125">
        <v>0.01</v>
      </c>
      <c r="Q60" s="53">
        <v>1500</v>
      </c>
      <c r="R60" s="125">
        <v>0.08</v>
      </c>
      <c r="S60" s="252">
        <v>45066</v>
      </c>
      <c r="T60" s="266">
        <v>10769</v>
      </c>
      <c r="U60" s="266">
        <v>13353</v>
      </c>
      <c r="V60" s="252">
        <v>45112</v>
      </c>
      <c r="W60" s="266">
        <v>12550</v>
      </c>
      <c r="X60" s="266">
        <v>16585</v>
      </c>
      <c r="Y60" s="126">
        <f>(V60-S60)/30.42</f>
        <v>1.5121630506245891</v>
      </c>
      <c r="Z60" s="30">
        <f>W60-T60</f>
        <v>1781</v>
      </c>
      <c r="AA60" s="30">
        <f>X60-U60</f>
        <v>3232</v>
      </c>
      <c r="AB60" s="85">
        <f>Z60/Y60</f>
        <v>1177.7830434782609</v>
      </c>
      <c r="AC60" s="85">
        <f>AA60/Y60</f>
        <v>2137.3356521739129</v>
      </c>
      <c r="AD60" s="32">
        <f>AB60-O60/L60</f>
        <v>177.78304347826088</v>
      </c>
      <c r="AE60" s="32">
        <f>AC60-Q60/L60</f>
        <v>637.33565217391288</v>
      </c>
      <c r="AF60" s="94">
        <f>AD60*Y60</f>
        <v>268.83694937541094</v>
      </c>
      <c r="AG60" s="94">
        <f>AE60*Y60</f>
        <v>963.75542406311615</v>
      </c>
      <c r="AH60" s="284">
        <f>AF60*P60</f>
        <v>2.6883694937541094</v>
      </c>
      <c r="AI60" s="284">
        <f>AG60*R60</f>
        <v>77.100433925049288</v>
      </c>
      <c r="AL60" s="91"/>
      <c r="AM60" s="91"/>
      <c r="AN60" s="91"/>
      <c r="AO60" s="91"/>
      <c r="AP60" s="91"/>
      <c r="AQ60" s="91"/>
      <c r="AR60" s="91"/>
      <c r="AS60" s="91"/>
      <c r="AT60" s="35"/>
    </row>
    <row r="61" spans="2:46" x14ac:dyDescent="0.25">
      <c r="B61" s="7" t="s">
        <v>327</v>
      </c>
      <c r="C61" s="174" t="s">
        <v>283</v>
      </c>
      <c r="D61" s="38" t="s">
        <v>328</v>
      </c>
      <c r="G61" s="285" t="s">
        <v>362</v>
      </c>
      <c r="O61" s="280"/>
      <c r="P61" s="281"/>
      <c r="Q61" s="281"/>
      <c r="S61" s="281"/>
      <c r="T61" s="281"/>
      <c r="U61" s="281"/>
      <c r="V61" s="252">
        <v>45112</v>
      </c>
      <c r="W61" s="266">
        <v>17708</v>
      </c>
      <c r="X61" s="266">
        <v>4099</v>
      </c>
      <c r="Y61" s="281" t="s">
        <v>363</v>
      </c>
      <c r="Z61" s="281"/>
      <c r="AA61" s="281"/>
      <c r="AB61" s="281"/>
      <c r="AL61" s="91"/>
      <c r="AM61" s="91"/>
      <c r="AN61" s="91"/>
      <c r="AO61" s="91"/>
      <c r="AP61" s="91"/>
      <c r="AQ61" s="91"/>
      <c r="AR61" s="91"/>
      <c r="AS61" s="91"/>
    </row>
    <row r="62" spans="2:46" x14ac:dyDescent="0.25">
      <c r="O62" s="280"/>
      <c r="P62" s="281"/>
      <c r="Q62" s="281"/>
      <c r="S62" s="281"/>
      <c r="T62" s="281"/>
      <c r="U62" s="281"/>
      <c r="V62" s="281"/>
      <c r="W62" s="281"/>
      <c r="X62" s="281"/>
      <c r="Y62" s="281"/>
      <c r="Z62" s="281"/>
      <c r="AA62" s="281"/>
      <c r="AB62" s="281"/>
    </row>
    <row r="63" spans="2:46" x14ac:dyDescent="0.25">
      <c r="E63" s="265"/>
    </row>
    <row r="64" spans="2:46" x14ac:dyDescent="0.25">
      <c r="E64" s="23"/>
      <c r="F64" s="82"/>
      <c r="G64" s="182"/>
      <c r="H64" s="184"/>
      <c r="I64" s="47"/>
      <c r="J64" s="42"/>
      <c r="K64"/>
      <c r="L64"/>
      <c r="M64" s="5"/>
      <c r="N64" s="3"/>
      <c r="O64" s="3"/>
      <c r="P64"/>
      <c r="R64" s="3"/>
      <c r="V64"/>
      <c r="W64"/>
      <c r="X64"/>
      <c r="Y64" s="7"/>
      <c r="Z64" s="7"/>
      <c r="AA64"/>
      <c r="AB64"/>
      <c r="AC64" s="91"/>
      <c r="AD64" s="91"/>
      <c r="AF64"/>
      <c r="AG64" s="2"/>
      <c r="AH64" s="2"/>
      <c r="AI64" s="2"/>
      <c r="AJ64" s="180"/>
      <c r="AK64"/>
      <c r="AN64"/>
      <c r="AO64"/>
      <c r="AP64"/>
      <c r="AQ64"/>
    </row>
    <row r="65" spans="5:43" x14ac:dyDescent="0.25">
      <c r="E65" s="23"/>
      <c r="F65" s="82"/>
      <c r="G65" s="182"/>
      <c r="H65" s="184"/>
      <c r="I65" s="47"/>
      <c r="J65" s="42"/>
      <c r="K65"/>
      <c r="L65"/>
      <c r="M65" s="5"/>
      <c r="N65" s="3"/>
      <c r="O65" s="3"/>
      <c r="P65"/>
      <c r="R65" s="3"/>
      <c r="V65"/>
      <c r="W65"/>
      <c r="X65"/>
      <c r="Y65" s="7"/>
      <c r="Z65" s="7"/>
      <c r="AA65"/>
      <c r="AB65"/>
      <c r="AC65" s="91"/>
      <c r="AD65" s="91"/>
      <c r="AF65"/>
      <c r="AG65" s="2"/>
      <c r="AH65" s="2"/>
      <c r="AI65" s="2"/>
      <c r="AJ65" s="180"/>
      <c r="AK65"/>
      <c r="AN65"/>
      <c r="AO65"/>
      <c r="AP65"/>
      <c r="AQ65"/>
    </row>
    <row r="66" spans="5:43" x14ac:dyDescent="0.25">
      <c r="E66" s="265"/>
    </row>
  </sheetData>
  <autoFilter ref="A1:AS54" xr:uid="{00000000-0009-0000-0000-000000000000}"/>
  <dataConsolidate/>
  <phoneticPr fontId="30" type="noConversion"/>
  <conditionalFormatting sqref="AD67:AI1048576">
    <cfRule type="cellIs" dxfId="17" priority="13" operator="lessThanOrEqual">
      <formula>0</formula>
    </cfRule>
  </conditionalFormatting>
  <conditionalFormatting sqref="AO66:AO102 AO63">
    <cfRule type="expression" dxfId="16" priority="12">
      <formula>$AO63&lt;$AJ63</formula>
    </cfRule>
  </conditionalFormatting>
  <conditionalFormatting sqref="AP66:AP102 AP63">
    <cfRule type="expression" dxfId="15" priority="11">
      <formula>$AP63&lt;$AK63</formula>
    </cfRule>
  </conditionalFormatting>
  <conditionalFormatting sqref="AD59:AI62 AD1:AI56">
    <cfRule type="cellIs" dxfId="14" priority="3" operator="lessThanOrEqual">
      <formula>0</formula>
    </cfRule>
  </conditionalFormatting>
  <conditionalFormatting sqref="AO59 AO62 AO2:AO57">
    <cfRule type="expression" dxfId="13" priority="2">
      <formula>$AO2&lt;$AJ2</formula>
    </cfRule>
  </conditionalFormatting>
  <conditionalFormatting sqref="AP2:AP57 AP59 AP62">
    <cfRule type="expression" dxfId="12" priority="1">
      <formula>$AP2&lt;$AK2</formula>
    </cfRule>
  </conditionalFormatting>
  <conditionalFormatting sqref="AH64:AH65">
    <cfRule type="expression" dxfId="11" priority="15">
      <formula>$AH64&lt;$AC64</formula>
    </cfRule>
  </conditionalFormatting>
  <conditionalFormatting sqref="AI64:AI65">
    <cfRule type="expression" dxfId="10" priority="18">
      <formula>$AI64&lt;$AD64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B1DEA-A0FE-44FD-9A33-0F0B514AA28F}">
  <sheetPr codeName="Foglio12"/>
  <dimension ref="A1:J57"/>
  <sheetViews>
    <sheetView tabSelected="1" workbookViewId="0">
      <selection activeCell="I10" sqref="I10"/>
    </sheetView>
  </sheetViews>
  <sheetFormatPr defaultRowHeight="15" x14ac:dyDescent="0.25"/>
  <cols>
    <col min="1" max="1" width="34" bestFit="1" customWidth="1"/>
    <col min="2" max="2" width="11.8554687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152</v>
      </c>
      <c r="B2" t="s">
        <v>223</v>
      </c>
      <c r="C2" s="286">
        <v>45184.374259259261</v>
      </c>
      <c r="D2">
        <v>196710</v>
      </c>
      <c r="E2">
        <v>35239</v>
      </c>
      <c r="F2" s="287">
        <v>5</v>
      </c>
      <c r="G2">
        <v>89</v>
      </c>
      <c r="H2">
        <v>69</v>
      </c>
      <c r="I2">
        <v>67</v>
      </c>
      <c r="J2">
        <v>2</v>
      </c>
    </row>
    <row r="3" spans="1:10" x14ac:dyDescent="0.25">
      <c r="A3" t="s">
        <v>184</v>
      </c>
      <c r="B3" t="s">
        <v>224</v>
      </c>
      <c r="C3" s="286">
        <v>45180.582499999997</v>
      </c>
      <c r="D3">
        <v>14685</v>
      </c>
      <c r="E3">
        <v>20253</v>
      </c>
      <c r="F3" s="287">
        <v>5</v>
      </c>
      <c r="G3">
        <v>16</v>
      </c>
      <c r="H3">
        <v>12</v>
      </c>
      <c r="I3">
        <v>37</v>
      </c>
      <c r="J3">
        <v>3</v>
      </c>
    </row>
    <row r="4" spans="1:10" x14ac:dyDescent="0.25">
      <c r="A4" t="s">
        <v>205</v>
      </c>
      <c r="B4" t="s">
        <v>225</v>
      </c>
      <c r="C4" s="286">
        <v>45170.002060185187</v>
      </c>
      <c r="D4">
        <v>19547</v>
      </c>
      <c r="E4">
        <v>16093</v>
      </c>
      <c r="F4">
        <v>52</v>
      </c>
      <c r="G4">
        <v>56</v>
      </c>
      <c r="H4">
        <v>53</v>
      </c>
      <c r="I4">
        <v>65</v>
      </c>
      <c r="J4">
        <v>4</v>
      </c>
    </row>
    <row r="5" spans="1:10" x14ac:dyDescent="0.25">
      <c r="A5" t="s">
        <v>154</v>
      </c>
      <c r="B5" t="s">
        <v>228</v>
      </c>
      <c r="C5" s="286">
        <v>45177.751932870371</v>
      </c>
      <c r="D5">
        <v>106567</v>
      </c>
      <c r="E5">
        <v>24869</v>
      </c>
      <c r="F5">
        <v>49</v>
      </c>
      <c r="G5">
        <v>57</v>
      </c>
      <c r="H5">
        <v>29</v>
      </c>
      <c r="I5">
        <v>79</v>
      </c>
      <c r="J5">
        <v>5</v>
      </c>
    </row>
    <row r="6" spans="1:10" x14ac:dyDescent="0.25">
      <c r="A6" t="s">
        <v>153</v>
      </c>
      <c r="B6" t="s">
        <v>233</v>
      </c>
      <c r="C6" s="286">
        <v>45178.041967592595</v>
      </c>
      <c r="D6">
        <v>29934</v>
      </c>
      <c r="E6">
        <v>0</v>
      </c>
      <c r="F6" s="287"/>
      <c r="G6" s="287"/>
      <c r="H6" s="287"/>
      <c r="I6">
        <v>16</v>
      </c>
      <c r="J6">
        <v>8</v>
      </c>
    </row>
    <row r="7" spans="1:10" x14ac:dyDescent="0.25">
      <c r="A7" t="s">
        <v>157</v>
      </c>
      <c r="B7" t="s">
        <v>234</v>
      </c>
      <c r="C7" s="286">
        <v>45184.384837962964</v>
      </c>
      <c r="D7">
        <v>102367</v>
      </c>
      <c r="E7">
        <v>33033</v>
      </c>
      <c r="F7">
        <v>11</v>
      </c>
      <c r="G7">
        <v>98</v>
      </c>
      <c r="H7" s="287">
        <v>7</v>
      </c>
      <c r="I7">
        <v>78</v>
      </c>
      <c r="J7">
        <v>9</v>
      </c>
    </row>
    <row r="8" spans="1:10" x14ac:dyDescent="0.25">
      <c r="A8" t="s">
        <v>158</v>
      </c>
      <c r="B8" t="s">
        <v>235</v>
      </c>
      <c r="C8" s="286">
        <v>45180.289421296293</v>
      </c>
      <c r="D8">
        <v>133729</v>
      </c>
      <c r="E8">
        <v>19300</v>
      </c>
      <c r="F8" s="287">
        <v>5</v>
      </c>
      <c r="G8" s="287">
        <v>9</v>
      </c>
      <c r="H8" s="287">
        <v>8</v>
      </c>
      <c r="I8">
        <v>21</v>
      </c>
      <c r="J8">
        <v>10</v>
      </c>
    </row>
    <row r="9" spans="1:10" x14ac:dyDescent="0.25">
      <c r="A9" t="s">
        <v>176</v>
      </c>
      <c r="B9" t="s">
        <v>236</v>
      </c>
      <c r="C9" s="286">
        <v>45179.9608912037</v>
      </c>
      <c r="D9">
        <v>31685</v>
      </c>
      <c r="E9">
        <v>4749</v>
      </c>
      <c r="F9">
        <v>68</v>
      </c>
      <c r="G9">
        <v>69</v>
      </c>
      <c r="H9">
        <v>64</v>
      </c>
      <c r="I9">
        <v>30</v>
      </c>
      <c r="J9">
        <v>11</v>
      </c>
    </row>
    <row r="10" spans="1:10" x14ac:dyDescent="0.25">
      <c r="A10" t="s">
        <v>203</v>
      </c>
      <c r="B10" t="s">
        <v>238</v>
      </c>
      <c r="C10" s="286">
        <v>45158.001863425925</v>
      </c>
      <c r="D10">
        <v>42820</v>
      </c>
      <c r="E10">
        <v>14846</v>
      </c>
      <c r="F10">
        <v>38</v>
      </c>
      <c r="G10">
        <v>40</v>
      </c>
      <c r="H10">
        <v>35</v>
      </c>
      <c r="I10">
        <v>72</v>
      </c>
      <c r="J10">
        <v>12</v>
      </c>
    </row>
    <row r="11" spans="1:10" x14ac:dyDescent="0.25">
      <c r="A11" t="s">
        <v>204</v>
      </c>
      <c r="B11" t="s">
        <v>202</v>
      </c>
      <c r="C11" s="286">
        <v>45180.381712962961</v>
      </c>
      <c r="D11">
        <v>128881</v>
      </c>
      <c r="E11">
        <v>83552</v>
      </c>
      <c r="F11">
        <v>59</v>
      </c>
      <c r="G11">
        <v>41</v>
      </c>
      <c r="H11" s="287">
        <v>5</v>
      </c>
      <c r="I11">
        <v>21</v>
      </c>
      <c r="J11">
        <v>13</v>
      </c>
    </row>
    <row r="12" spans="1:10" x14ac:dyDescent="0.25">
      <c r="A12" t="s">
        <v>294</v>
      </c>
      <c r="B12" t="s">
        <v>293</v>
      </c>
      <c r="C12" s="286">
        <v>45158.08556712963</v>
      </c>
      <c r="D12">
        <v>11872</v>
      </c>
      <c r="E12">
        <v>517</v>
      </c>
      <c r="F12">
        <v>94</v>
      </c>
      <c r="G12">
        <v>93</v>
      </c>
      <c r="H12">
        <v>93</v>
      </c>
      <c r="I12">
        <v>57</v>
      </c>
      <c r="J12">
        <v>14</v>
      </c>
    </row>
    <row r="13" spans="1:10" x14ac:dyDescent="0.25">
      <c r="A13" t="s">
        <v>160</v>
      </c>
      <c r="B13" t="s">
        <v>240</v>
      </c>
      <c r="C13" s="286">
        <v>45181.375115740739</v>
      </c>
      <c r="D13">
        <v>30045</v>
      </c>
      <c r="E13">
        <v>18914</v>
      </c>
      <c r="F13">
        <v>100</v>
      </c>
      <c r="G13">
        <v>100</v>
      </c>
      <c r="H13">
        <v>100</v>
      </c>
      <c r="I13">
        <v>89</v>
      </c>
      <c r="J13">
        <v>15</v>
      </c>
    </row>
    <row r="14" spans="1:10" x14ac:dyDescent="0.25">
      <c r="A14" t="s">
        <v>161</v>
      </c>
      <c r="B14" t="s">
        <v>241</v>
      </c>
      <c r="C14" s="286">
        <v>45177.75267361111</v>
      </c>
      <c r="D14">
        <v>38793</v>
      </c>
      <c r="E14">
        <v>20891</v>
      </c>
      <c r="F14" s="287">
        <v>5</v>
      </c>
      <c r="G14" s="287">
        <v>10</v>
      </c>
      <c r="H14" s="287">
        <v>5</v>
      </c>
      <c r="I14">
        <v>59</v>
      </c>
      <c r="J14">
        <v>16</v>
      </c>
    </row>
    <row r="15" spans="1:10" x14ac:dyDescent="0.25">
      <c r="A15" t="s">
        <v>183</v>
      </c>
      <c r="B15" t="s">
        <v>242</v>
      </c>
      <c r="C15" s="286">
        <v>45161.687418981484</v>
      </c>
      <c r="D15">
        <v>52646</v>
      </c>
      <c r="E15">
        <v>0</v>
      </c>
      <c r="F15" s="287"/>
      <c r="G15" s="287"/>
      <c r="H15" s="287"/>
      <c r="I15" s="287">
        <v>5</v>
      </c>
      <c r="J15">
        <v>17</v>
      </c>
    </row>
    <row r="16" spans="1:10" x14ac:dyDescent="0.25">
      <c r="A16" t="s">
        <v>162</v>
      </c>
      <c r="B16" t="s">
        <v>243</v>
      </c>
      <c r="C16" s="286">
        <v>45181.627337962964</v>
      </c>
      <c r="D16">
        <v>71511</v>
      </c>
      <c r="E16">
        <v>5782</v>
      </c>
      <c r="F16">
        <v>57</v>
      </c>
      <c r="G16">
        <v>58</v>
      </c>
      <c r="H16">
        <v>45</v>
      </c>
      <c r="I16">
        <v>79</v>
      </c>
      <c r="J16">
        <v>18</v>
      </c>
    </row>
    <row r="17" spans="1:10" x14ac:dyDescent="0.25">
      <c r="A17" t="s">
        <v>317</v>
      </c>
      <c r="B17" t="s">
        <v>318</v>
      </c>
      <c r="C17" s="286">
        <v>45158.085231481484</v>
      </c>
      <c r="D17">
        <v>3742</v>
      </c>
      <c r="E17">
        <v>424</v>
      </c>
      <c r="F17">
        <v>96</v>
      </c>
      <c r="G17">
        <v>94</v>
      </c>
      <c r="H17">
        <v>95</v>
      </c>
      <c r="I17">
        <v>83</v>
      </c>
      <c r="J17">
        <v>19</v>
      </c>
    </row>
    <row r="18" spans="1:10" x14ac:dyDescent="0.25">
      <c r="A18" t="s">
        <v>163</v>
      </c>
      <c r="B18" t="s">
        <v>244</v>
      </c>
      <c r="C18" s="286">
        <v>45180.348263888889</v>
      </c>
      <c r="D18">
        <v>44018</v>
      </c>
      <c r="E18">
        <v>35869</v>
      </c>
      <c r="F18">
        <v>87</v>
      </c>
      <c r="G18">
        <v>67</v>
      </c>
      <c r="H18">
        <v>72</v>
      </c>
      <c r="I18">
        <v>95</v>
      </c>
      <c r="J18">
        <v>20</v>
      </c>
    </row>
    <row r="19" spans="1:10" x14ac:dyDescent="0.25">
      <c r="A19" t="s">
        <v>164</v>
      </c>
      <c r="B19" t="s">
        <v>245</v>
      </c>
      <c r="C19" s="286">
        <v>45183.737303240741</v>
      </c>
      <c r="D19">
        <v>47829</v>
      </c>
      <c r="E19">
        <v>8657</v>
      </c>
      <c r="F19">
        <v>12</v>
      </c>
      <c r="G19">
        <v>22</v>
      </c>
      <c r="H19" s="287">
        <v>5</v>
      </c>
      <c r="I19" s="287">
        <v>6</v>
      </c>
      <c r="J19">
        <v>21</v>
      </c>
    </row>
    <row r="20" spans="1:10" x14ac:dyDescent="0.25">
      <c r="A20" t="s">
        <v>165</v>
      </c>
      <c r="B20" t="s">
        <v>246</v>
      </c>
      <c r="C20" s="286">
        <v>45170.043541666666</v>
      </c>
      <c r="D20">
        <v>74960</v>
      </c>
      <c r="E20">
        <v>35526</v>
      </c>
      <c r="F20">
        <v>16</v>
      </c>
      <c r="G20">
        <v>18</v>
      </c>
      <c r="H20">
        <v>18</v>
      </c>
      <c r="I20">
        <v>42</v>
      </c>
      <c r="J20">
        <v>22</v>
      </c>
    </row>
    <row r="21" spans="1:10" x14ac:dyDescent="0.25">
      <c r="A21" t="s">
        <v>177</v>
      </c>
      <c r="B21" t="s">
        <v>247</v>
      </c>
      <c r="C21" s="286">
        <v>45170.547511574077</v>
      </c>
      <c r="D21">
        <v>41979</v>
      </c>
      <c r="E21">
        <v>13231</v>
      </c>
      <c r="F21" s="287">
        <v>5</v>
      </c>
      <c r="G21">
        <v>91</v>
      </c>
      <c r="H21">
        <v>92</v>
      </c>
      <c r="I21">
        <v>36</v>
      </c>
      <c r="J21">
        <v>23</v>
      </c>
    </row>
    <row r="22" spans="1:10" x14ac:dyDescent="0.25">
      <c r="A22" t="s">
        <v>327</v>
      </c>
      <c r="B22" t="s">
        <v>329</v>
      </c>
      <c r="C22" s="286">
        <v>45158.085185185184</v>
      </c>
      <c r="D22">
        <v>19053</v>
      </c>
      <c r="E22">
        <v>5479</v>
      </c>
      <c r="F22">
        <v>29</v>
      </c>
      <c r="G22">
        <v>33</v>
      </c>
      <c r="H22">
        <v>34</v>
      </c>
      <c r="I22">
        <v>52</v>
      </c>
      <c r="J22">
        <v>25</v>
      </c>
    </row>
    <row r="23" spans="1:10" x14ac:dyDescent="0.25">
      <c r="A23" t="s">
        <v>209</v>
      </c>
      <c r="B23" t="s">
        <v>248</v>
      </c>
      <c r="C23" s="286">
        <v>45158.00240740741</v>
      </c>
      <c r="D23">
        <v>18831</v>
      </c>
      <c r="E23">
        <v>2207</v>
      </c>
      <c r="F23">
        <v>86</v>
      </c>
      <c r="G23">
        <v>85</v>
      </c>
      <c r="H23">
        <v>84</v>
      </c>
      <c r="I23">
        <v>13</v>
      </c>
      <c r="J23">
        <v>26</v>
      </c>
    </row>
    <row r="24" spans="1:10" x14ac:dyDescent="0.25">
      <c r="A24" t="s">
        <v>166</v>
      </c>
      <c r="B24" t="s">
        <v>249</v>
      </c>
      <c r="C24" s="286">
        <v>45181.690046296295</v>
      </c>
      <c r="D24">
        <v>46176</v>
      </c>
      <c r="E24">
        <v>49285</v>
      </c>
      <c r="F24">
        <v>19</v>
      </c>
      <c r="G24" s="287">
        <v>5</v>
      </c>
      <c r="H24" s="287">
        <v>5</v>
      </c>
      <c r="I24">
        <v>71</v>
      </c>
      <c r="J24">
        <v>27</v>
      </c>
    </row>
    <row r="25" spans="1:10" x14ac:dyDescent="0.25">
      <c r="A25" t="s">
        <v>168</v>
      </c>
      <c r="B25" t="s">
        <v>252</v>
      </c>
      <c r="C25" s="286">
        <v>45170.045428240737</v>
      </c>
      <c r="D25">
        <v>123085</v>
      </c>
      <c r="E25">
        <v>88134</v>
      </c>
      <c r="F25">
        <v>35</v>
      </c>
      <c r="G25">
        <v>48</v>
      </c>
      <c r="H25">
        <v>32</v>
      </c>
      <c r="I25">
        <v>23</v>
      </c>
      <c r="J25">
        <v>30</v>
      </c>
    </row>
    <row r="26" spans="1:10" x14ac:dyDescent="0.25">
      <c r="A26" t="s">
        <v>193</v>
      </c>
      <c r="B26" t="s">
        <v>195</v>
      </c>
      <c r="C26" s="286">
        <v>45170.084745370368</v>
      </c>
      <c r="D26">
        <v>16081</v>
      </c>
      <c r="E26">
        <v>9796</v>
      </c>
      <c r="F26">
        <v>64</v>
      </c>
      <c r="G26">
        <v>61</v>
      </c>
      <c r="H26">
        <v>57</v>
      </c>
      <c r="I26">
        <v>89</v>
      </c>
      <c r="J26">
        <v>31</v>
      </c>
    </row>
    <row r="27" spans="1:10" x14ac:dyDescent="0.25">
      <c r="A27" t="s">
        <v>251</v>
      </c>
      <c r="B27" t="s">
        <v>214</v>
      </c>
      <c r="C27" s="286">
        <v>45158.001701388886</v>
      </c>
      <c r="D27">
        <v>40797</v>
      </c>
      <c r="E27">
        <v>5020</v>
      </c>
      <c r="F27">
        <v>81</v>
      </c>
      <c r="G27">
        <v>79</v>
      </c>
      <c r="H27">
        <v>79</v>
      </c>
      <c r="I27">
        <v>80</v>
      </c>
      <c r="J27">
        <v>32</v>
      </c>
    </row>
    <row r="28" spans="1:10" x14ac:dyDescent="0.25">
      <c r="A28" t="s">
        <v>221</v>
      </c>
      <c r="B28" t="s">
        <v>219</v>
      </c>
      <c r="C28" s="286">
        <v>45158.002233796295</v>
      </c>
      <c r="D28">
        <v>5755</v>
      </c>
      <c r="E28">
        <v>4462</v>
      </c>
      <c r="F28">
        <v>81</v>
      </c>
      <c r="G28">
        <v>81</v>
      </c>
      <c r="H28">
        <v>77</v>
      </c>
      <c r="I28">
        <v>54</v>
      </c>
      <c r="J28">
        <v>33</v>
      </c>
    </row>
    <row r="29" spans="1:10" x14ac:dyDescent="0.25">
      <c r="A29" t="s">
        <v>167</v>
      </c>
      <c r="B29" t="s">
        <v>217</v>
      </c>
      <c r="C29" s="286">
        <v>45174.720532407409</v>
      </c>
      <c r="D29">
        <v>182578</v>
      </c>
      <c r="E29">
        <v>17622</v>
      </c>
      <c r="F29">
        <v>72</v>
      </c>
      <c r="G29">
        <v>77</v>
      </c>
      <c r="H29">
        <v>66</v>
      </c>
      <c r="I29">
        <v>17</v>
      </c>
      <c r="J29">
        <v>34</v>
      </c>
    </row>
    <row r="30" spans="1:10" x14ac:dyDescent="0.25">
      <c r="A30" t="s">
        <v>167</v>
      </c>
      <c r="B30" t="s">
        <v>340</v>
      </c>
      <c r="C30" s="286">
        <v>45135.376331018517</v>
      </c>
      <c r="D30">
        <v>0</v>
      </c>
      <c r="E30">
        <v>0</v>
      </c>
      <c r="F30">
        <v>98</v>
      </c>
      <c r="G30">
        <v>97</v>
      </c>
      <c r="H30">
        <v>97</v>
      </c>
      <c r="I30">
        <v>97</v>
      </c>
      <c r="J30">
        <v>35</v>
      </c>
    </row>
    <row r="31" spans="1:10" x14ac:dyDescent="0.25">
      <c r="A31" t="s">
        <v>185</v>
      </c>
      <c r="B31" t="s">
        <v>253</v>
      </c>
      <c r="C31" s="286">
        <v>45170.358252314814</v>
      </c>
      <c r="D31">
        <v>21796</v>
      </c>
      <c r="E31">
        <v>4527</v>
      </c>
      <c r="F31">
        <v>39</v>
      </c>
      <c r="G31">
        <v>42</v>
      </c>
      <c r="H31">
        <v>26</v>
      </c>
      <c r="I31">
        <v>30</v>
      </c>
      <c r="J31">
        <v>36</v>
      </c>
    </row>
    <row r="32" spans="1:10" x14ac:dyDescent="0.25">
      <c r="A32" t="s">
        <v>201</v>
      </c>
      <c r="B32" t="s">
        <v>197</v>
      </c>
      <c r="C32" s="286">
        <v>45170.001875000002</v>
      </c>
      <c r="D32">
        <v>56258</v>
      </c>
      <c r="E32">
        <v>3918</v>
      </c>
      <c r="F32">
        <v>83</v>
      </c>
      <c r="G32">
        <v>82</v>
      </c>
      <c r="H32">
        <v>79</v>
      </c>
      <c r="I32">
        <v>62</v>
      </c>
      <c r="J32">
        <v>37</v>
      </c>
    </row>
    <row r="33" spans="1:10" x14ac:dyDescent="0.25">
      <c r="A33" t="s">
        <v>344</v>
      </c>
      <c r="B33" t="s">
        <v>346</v>
      </c>
      <c r="C33" s="286">
        <v>45158.085219907407</v>
      </c>
      <c r="D33">
        <v>1044</v>
      </c>
      <c r="E33">
        <v>407</v>
      </c>
      <c r="F33">
        <v>95</v>
      </c>
      <c r="G33">
        <v>95</v>
      </c>
      <c r="H33">
        <v>96</v>
      </c>
      <c r="I33">
        <v>93</v>
      </c>
      <c r="J33">
        <v>38</v>
      </c>
    </row>
    <row r="34" spans="1:10" x14ac:dyDescent="0.25">
      <c r="A34" t="s">
        <v>289</v>
      </c>
      <c r="B34" t="s">
        <v>290</v>
      </c>
      <c r="C34" s="286">
        <v>45158.001701388886</v>
      </c>
      <c r="D34">
        <v>4540</v>
      </c>
      <c r="E34">
        <v>724</v>
      </c>
      <c r="F34">
        <v>95</v>
      </c>
      <c r="G34">
        <v>94</v>
      </c>
      <c r="H34">
        <v>95</v>
      </c>
      <c r="I34">
        <v>82</v>
      </c>
      <c r="J34">
        <v>39</v>
      </c>
    </row>
    <row r="35" spans="1:10" x14ac:dyDescent="0.25">
      <c r="A35" t="s">
        <v>169</v>
      </c>
      <c r="B35" t="s">
        <v>256</v>
      </c>
      <c r="C35" s="286">
        <v>45183.722592592596</v>
      </c>
      <c r="D35">
        <v>69447</v>
      </c>
      <c r="E35">
        <v>45063</v>
      </c>
      <c r="F35">
        <v>40</v>
      </c>
      <c r="G35">
        <v>48</v>
      </c>
      <c r="H35">
        <v>62</v>
      </c>
      <c r="I35">
        <v>24</v>
      </c>
      <c r="J35">
        <v>42</v>
      </c>
    </row>
    <row r="36" spans="1:10" x14ac:dyDescent="0.25">
      <c r="A36" t="s">
        <v>350</v>
      </c>
      <c r="B36" t="s">
        <v>286</v>
      </c>
      <c r="C36" s="286">
        <v>45158.043321759258</v>
      </c>
      <c r="D36">
        <v>6633</v>
      </c>
      <c r="E36">
        <v>1452</v>
      </c>
      <c r="F36">
        <v>91</v>
      </c>
      <c r="G36">
        <v>90</v>
      </c>
      <c r="H36">
        <v>90</v>
      </c>
      <c r="I36">
        <v>70</v>
      </c>
      <c r="J36">
        <v>43</v>
      </c>
    </row>
    <row r="37" spans="1:10" x14ac:dyDescent="0.25">
      <c r="A37" t="s">
        <v>282</v>
      </c>
      <c r="B37" t="s">
        <v>189</v>
      </c>
      <c r="C37" s="286">
        <v>45173.484201388892</v>
      </c>
      <c r="D37">
        <v>85821</v>
      </c>
      <c r="E37">
        <v>12834</v>
      </c>
      <c r="F37">
        <v>30</v>
      </c>
      <c r="G37">
        <v>19</v>
      </c>
      <c r="H37">
        <v>16</v>
      </c>
      <c r="I37">
        <v>70</v>
      </c>
      <c r="J37">
        <v>44</v>
      </c>
    </row>
    <row r="38" spans="1:10" x14ac:dyDescent="0.25">
      <c r="A38" t="s">
        <v>282</v>
      </c>
      <c r="B38" t="s">
        <v>190</v>
      </c>
      <c r="C38" s="286">
        <v>45182.674131944441</v>
      </c>
      <c r="D38">
        <v>50056</v>
      </c>
      <c r="E38">
        <v>8563</v>
      </c>
      <c r="F38">
        <v>70</v>
      </c>
      <c r="G38">
        <v>71</v>
      </c>
      <c r="H38">
        <v>68</v>
      </c>
      <c r="I38" s="287">
        <v>7</v>
      </c>
      <c r="J38">
        <v>45</v>
      </c>
    </row>
    <row r="39" spans="1:10" x14ac:dyDescent="0.25">
      <c r="A39" t="s">
        <v>170</v>
      </c>
      <c r="B39" t="s">
        <v>257</v>
      </c>
      <c r="C39" s="286">
        <v>45184.363715277781</v>
      </c>
      <c r="D39">
        <v>121941</v>
      </c>
      <c r="E39">
        <v>32248</v>
      </c>
      <c r="F39">
        <v>45</v>
      </c>
      <c r="G39">
        <v>51</v>
      </c>
      <c r="H39">
        <v>40</v>
      </c>
      <c r="I39">
        <v>69</v>
      </c>
      <c r="J39">
        <v>46</v>
      </c>
    </row>
    <row r="40" spans="1:10" x14ac:dyDescent="0.25">
      <c r="A40" t="s">
        <v>171</v>
      </c>
      <c r="B40" t="s">
        <v>258</v>
      </c>
      <c r="C40" s="286">
        <v>45158.001828703702</v>
      </c>
      <c r="D40">
        <v>69214</v>
      </c>
      <c r="E40">
        <v>0</v>
      </c>
      <c r="F40" s="287"/>
      <c r="G40" s="287"/>
      <c r="H40" s="287"/>
      <c r="I40">
        <v>55</v>
      </c>
      <c r="J40">
        <v>47</v>
      </c>
    </row>
    <row r="41" spans="1:10" x14ac:dyDescent="0.25">
      <c r="A41" t="s">
        <v>171</v>
      </c>
      <c r="B41" t="s">
        <v>237</v>
      </c>
      <c r="C41" s="286">
        <v>45183.398680555554</v>
      </c>
      <c r="D41">
        <v>25127</v>
      </c>
      <c r="E41">
        <v>4124</v>
      </c>
      <c r="F41">
        <v>81</v>
      </c>
      <c r="G41">
        <v>81</v>
      </c>
      <c r="H41">
        <v>82</v>
      </c>
      <c r="I41">
        <v>100</v>
      </c>
      <c r="J41">
        <v>48</v>
      </c>
    </row>
    <row r="42" spans="1:10" x14ac:dyDescent="0.25">
      <c r="A42" t="s">
        <v>171</v>
      </c>
      <c r="B42" t="s">
        <v>260</v>
      </c>
      <c r="C42" s="286">
        <v>45158.601550925923</v>
      </c>
      <c r="D42">
        <v>17882</v>
      </c>
      <c r="E42">
        <v>11680</v>
      </c>
      <c r="F42">
        <v>48</v>
      </c>
      <c r="G42">
        <v>47</v>
      </c>
      <c r="H42">
        <v>40</v>
      </c>
      <c r="I42">
        <v>72</v>
      </c>
      <c r="J42">
        <v>49</v>
      </c>
    </row>
    <row r="43" spans="1:10" x14ac:dyDescent="0.25">
      <c r="A43" t="s">
        <v>171</v>
      </c>
      <c r="B43" t="s">
        <v>259</v>
      </c>
      <c r="C43" s="286">
        <v>45183.388460648152</v>
      </c>
      <c r="D43">
        <v>412379</v>
      </c>
      <c r="E43">
        <v>21997</v>
      </c>
      <c r="F43">
        <v>96</v>
      </c>
      <c r="G43">
        <v>93</v>
      </c>
      <c r="H43">
        <v>95</v>
      </c>
      <c r="I43">
        <v>69</v>
      </c>
      <c r="J43">
        <v>50</v>
      </c>
    </row>
    <row r="44" spans="1:10" x14ac:dyDescent="0.25">
      <c r="A44" t="s">
        <v>178</v>
      </c>
      <c r="B44" t="s">
        <v>262</v>
      </c>
      <c r="C44" s="286">
        <v>45170.043993055559</v>
      </c>
      <c r="D44">
        <v>183560</v>
      </c>
      <c r="E44">
        <v>0</v>
      </c>
      <c r="F44" s="287"/>
      <c r="G44" s="287"/>
      <c r="H44" s="287"/>
      <c r="I44">
        <v>16</v>
      </c>
      <c r="J44">
        <v>51</v>
      </c>
    </row>
    <row r="45" spans="1:10" x14ac:dyDescent="0.25">
      <c r="A45" t="s">
        <v>172</v>
      </c>
      <c r="B45" t="s">
        <v>264</v>
      </c>
      <c r="C45" s="286">
        <v>45170.043773148151</v>
      </c>
      <c r="D45">
        <v>171304</v>
      </c>
      <c r="E45">
        <v>0</v>
      </c>
      <c r="F45" s="287"/>
      <c r="G45" s="287"/>
      <c r="H45" s="287"/>
      <c r="I45" s="287">
        <v>6</v>
      </c>
      <c r="J45">
        <v>52</v>
      </c>
    </row>
    <row r="46" spans="1:10" x14ac:dyDescent="0.25">
      <c r="A46" t="s">
        <v>173</v>
      </c>
      <c r="B46" t="s">
        <v>265</v>
      </c>
      <c r="C46" s="286">
        <v>45182.731435185182</v>
      </c>
      <c r="D46">
        <v>41022</v>
      </c>
      <c r="E46">
        <v>6348</v>
      </c>
      <c r="F46">
        <v>15</v>
      </c>
      <c r="G46">
        <v>13</v>
      </c>
      <c r="H46" s="287">
        <v>5</v>
      </c>
      <c r="I46">
        <v>99</v>
      </c>
      <c r="J46">
        <v>53</v>
      </c>
    </row>
    <row r="47" spans="1:10" x14ac:dyDescent="0.25">
      <c r="A47" t="s">
        <v>174</v>
      </c>
      <c r="B47" t="s">
        <v>266</v>
      </c>
      <c r="C47" s="286">
        <v>45180.374259259261</v>
      </c>
      <c r="D47">
        <v>105165</v>
      </c>
      <c r="E47">
        <v>45032</v>
      </c>
      <c r="F47">
        <v>87</v>
      </c>
      <c r="G47">
        <v>32</v>
      </c>
      <c r="H47">
        <v>92</v>
      </c>
      <c r="I47">
        <v>64</v>
      </c>
      <c r="J47">
        <v>54</v>
      </c>
    </row>
    <row r="48" spans="1:10" x14ac:dyDescent="0.25">
      <c r="A48" t="s">
        <v>175</v>
      </c>
      <c r="B48" t="s">
        <v>143</v>
      </c>
      <c r="C48" s="286">
        <v>45169.996053240742</v>
      </c>
      <c r="D48">
        <v>202696</v>
      </c>
      <c r="E48">
        <v>0</v>
      </c>
      <c r="F48" s="287"/>
      <c r="G48" s="287"/>
      <c r="H48" s="287"/>
      <c r="I48">
        <v>97</v>
      </c>
      <c r="J48">
        <v>55</v>
      </c>
    </row>
    <row r="49" spans="1:10" x14ac:dyDescent="0.25">
      <c r="A49" t="s">
        <v>175</v>
      </c>
      <c r="B49" t="s">
        <v>142</v>
      </c>
      <c r="C49" s="286">
        <v>45169.999027777776</v>
      </c>
      <c r="D49">
        <v>194717</v>
      </c>
      <c r="E49">
        <v>0</v>
      </c>
      <c r="F49" s="287"/>
      <c r="G49" s="287"/>
      <c r="H49" s="287"/>
      <c r="I49">
        <v>60</v>
      </c>
      <c r="J49">
        <v>56</v>
      </c>
    </row>
    <row r="50" spans="1:10" x14ac:dyDescent="0.25">
      <c r="A50" t="s">
        <v>360</v>
      </c>
      <c r="B50" t="s">
        <v>284</v>
      </c>
      <c r="C50" s="286">
        <v>45097.04351851852</v>
      </c>
      <c r="D50">
        <v>11889</v>
      </c>
      <c r="E50">
        <v>15160</v>
      </c>
      <c r="F50">
        <v>28</v>
      </c>
      <c r="G50">
        <v>21</v>
      </c>
      <c r="H50">
        <v>30</v>
      </c>
      <c r="I50">
        <v>21</v>
      </c>
      <c r="J50">
        <v>60</v>
      </c>
    </row>
    <row r="51" spans="1:10" x14ac:dyDescent="0.25">
      <c r="A51" t="s">
        <v>383</v>
      </c>
      <c r="C51" s="286">
        <v>45187.814629629633</v>
      </c>
      <c r="D51" t="s">
        <v>382</v>
      </c>
      <c r="E51">
        <v>0</v>
      </c>
      <c r="F51" s="287"/>
      <c r="G51" s="287"/>
      <c r="H51" s="287"/>
      <c r="I51" t="s">
        <v>382</v>
      </c>
      <c r="J51" t="s">
        <v>42</v>
      </c>
    </row>
    <row r="52" spans="1:10" x14ac:dyDescent="0.25">
      <c r="A52" t="s">
        <v>288</v>
      </c>
      <c r="B52">
        <v>1382800465</v>
      </c>
      <c r="C52" s="286">
        <v>45184.407766203702</v>
      </c>
      <c r="D52">
        <v>241487</v>
      </c>
      <c r="E52">
        <v>0</v>
      </c>
      <c r="F52" s="287"/>
      <c r="G52" s="287"/>
      <c r="H52" s="287"/>
      <c r="I52" s="287">
        <v>10</v>
      </c>
      <c r="J52" t="s">
        <v>42</v>
      </c>
    </row>
    <row r="53" spans="1:10" x14ac:dyDescent="0.25">
      <c r="A53" t="s">
        <v>384</v>
      </c>
      <c r="C53" s="286">
        <v>45183.855104166665</v>
      </c>
      <c r="D53" t="s">
        <v>382</v>
      </c>
      <c r="E53">
        <v>0</v>
      </c>
      <c r="F53" s="287"/>
      <c r="G53" s="287"/>
      <c r="H53" s="287"/>
      <c r="I53" t="s">
        <v>382</v>
      </c>
      <c r="J53" t="s">
        <v>42</v>
      </c>
    </row>
    <row r="54" spans="1:10" x14ac:dyDescent="0.25">
      <c r="A54" t="s">
        <v>378</v>
      </c>
      <c r="B54" t="s">
        <v>379</v>
      </c>
      <c r="C54" s="286">
        <v>45104.693530092591</v>
      </c>
      <c r="D54">
        <v>83528</v>
      </c>
      <c r="E54">
        <v>0</v>
      </c>
      <c r="F54" s="287"/>
      <c r="G54" s="287"/>
      <c r="H54" s="287"/>
      <c r="I54">
        <v>41</v>
      </c>
      <c r="J54" t="s">
        <v>42</v>
      </c>
    </row>
    <row r="55" spans="1:10" x14ac:dyDescent="0.25">
      <c r="A55" t="s">
        <v>374</v>
      </c>
      <c r="B55" t="s">
        <v>375</v>
      </c>
      <c r="C55" s="286">
        <v>45103.28125</v>
      </c>
      <c r="D55">
        <v>238436</v>
      </c>
      <c r="E55">
        <v>40230</v>
      </c>
      <c r="F55">
        <v>30</v>
      </c>
      <c r="G55">
        <v>43</v>
      </c>
      <c r="H55">
        <v>14</v>
      </c>
      <c r="I55">
        <v>74</v>
      </c>
      <c r="J55" t="s">
        <v>42</v>
      </c>
    </row>
    <row r="56" spans="1:10" x14ac:dyDescent="0.25">
      <c r="A56" t="s">
        <v>380</v>
      </c>
      <c r="B56" t="s">
        <v>381</v>
      </c>
      <c r="C56" s="286">
        <v>45095.291724537034</v>
      </c>
      <c r="D56">
        <v>53099</v>
      </c>
      <c r="E56">
        <v>0</v>
      </c>
      <c r="F56" s="287"/>
      <c r="G56" s="287"/>
      <c r="H56" s="287"/>
      <c r="I56">
        <v>72</v>
      </c>
      <c r="J56" t="s">
        <v>42</v>
      </c>
    </row>
    <row r="57" spans="1:10" x14ac:dyDescent="0.25">
      <c r="A57" t="s">
        <v>376</v>
      </c>
      <c r="B57" t="s">
        <v>377</v>
      </c>
      <c r="C57" s="286">
        <v>45078.317569444444</v>
      </c>
      <c r="D57">
        <v>40580</v>
      </c>
      <c r="E57">
        <v>22413</v>
      </c>
      <c r="F57">
        <v>61</v>
      </c>
      <c r="G57">
        <v>76</v>
      </c>
      <c r="H57">
        <v>30</v>
      </c>
      <c r="I57">
        <v>63</v>
      </c>
      <c r="J57" t="s">
        <v>42</v>
      </c>
    </row>
  </sheetData>
  <sortState xmlns:xlrd2="http://schemas.microsoft.com/office/spreadsheetml/2017/richdata2" ref="A2:J57">
    <sortCondition ref="J1:J5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C1A2E-1BD1-433A-AF89-8F783766BCC9}">
  <sheetPr codeName="Foglio11"/>
  <dimension ref="A1:U57"/>
  <sheetViews>
    <sheetView topLeftCell="E1" workbookViewId="0">
      <selection activeCell="O13" sqref="O13"/>
    </sheetView>
  </sheetViews>
  <sheetFormatPr defaultRowHeight="15" x14ac:dyDescent="0.25"/>
  <cols>
    <col min="1" max="1" width="34" bestFit="1" customWidth="1"/>
    <col min="2" max="2" width="11.8554687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21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21" x14ac:dyDescent="0.25">
      <c r="L2" t="s">
        <v>152</v>
      </c>
      <c r="M2" t="s">
        <v>223</v>
      </c>
      <c r="N2" s="286">
        <v>45184.374259259261</v>
      </c>
      <c r="O2">
        <v>196710</v>
      </c>
      <c r="P2">
        <v>35239</v>
      </c>
      <c r="Q2" s="287">
        <v>5</v>
      </c>
      <c r="R2">
        <v>89</v>
      </c>
      <c r="S2">
        <v>69</v>
      </c>
      <c r="T2">
        <v>67</v>
      </c>
      <c r="U2">
        <v>2</v>
      </c>
    </row>
    <row r="3" spans="1:21" x14ac:dyDescent="0.25">
      <c r="L3" t="s">
        <v>184</v>
      </c>
      <c r="M3" t="s">
        <v>224</v>
      </c>
      <c r="N3" s="286">
        <v>45180.582499999997</v>
      </c>
      <c r="O3">
        <v>14685</v>
      </c>
      <c r="P3">
        <v>20253</v>
      </c>
      <c r="Q3" s="287">
        <v>5</v>
      </c>
      <c r="R3">
        <v>16</v>
      </c>
      <c r="S3">
        <v>12</v>
      </c>
      <c r="T3">
        <v>37</v>
      </c>
      <c r="U3">
        <v>3</v>
      </c>
    </row>
    <row r="4" spans="1:21" x14ac:dyDescent="0.25">
      <c r="L4" t="s">
        <v>205</v>
      </c>
      <c r="M4" t="s">
        <v>225</v>
      </c>
      <c r="N4" s="286">
        <v>45170.002060185187</v>
      </c>
      <c r="O4">
        <v>19547</v>
      </c>
      <c r="P4">
        <v>16093</v>
      </c>
      <c r="Q4">
        <v>52</v>
      </c>
      <c r="R4">
        <v>56</v>
      </c>
      <c r="S4">
        <v>53</v>
      </c>
      <c r="T4">
        <v>65</v>
      </c>
      <c r="U4">
        <v>4</v>
      </c>
    </row>
    <row r="5" spans="1:21" x14ac:dyDescent="0.25">
      <c r="L5" t="s">
        <v>154</v>
      </c>
      <c r="M5" t="s">
        <v>228</v>
      </c>
      <c r="N5" s="286">
        <v>45177.751932870371</v>
      </c>
      <c r="O5">
        <v>106567</v>
      </c>
      <c r="P5">
        <v>24869</v>
      </c>
      <c r="Q5">
        <v>49</v>
      </c>
      <c r="R5">
        <v>57</v>
      </c>
      <c r="S5">
        <v>29</v>
      </c>
      <c r="T5">
        <v>79</v>
      </c>
      <c r="U5">
        <v>5</v>
      </c>
    </row>
    <row r="8" spans="1:21" x14ac:dyDescent="0.25">
      <c r="L8" t="s">
        <v>158</v>
      </c>
      <c r="M8" t="s">
        <v>235</v>
      </c>
      <c r="N8" s="286">
        <v>45180.289421296293</v>
      </c>
      <c r="O8">
        <v>133729</v>
      </c>
      <c r="P8">
        <v>19300</v>
      </c>
      <c r="Q8" s="287">
        <v>5</v>
      </c>
      <c r="R8" s="287">
        <v>9</v>
      </c>
      <c r="S8" s="287">
        <v>8</v>
      </c>
      <c r="T8">
        <v>21</v>
      </c>
      <c r="U8">
        <v>10</v>
      </c>
    </row>
    <row r="9" spans="1:21" x14ac:dyDescent="0.25">
      <c r="L9" t="s">
        <v>176</v>
      </c>
      <c r="M9" t="s">
        <v>236</v>
      </c>
      <c r="N9" s="286">
        <v>45179.9608912037</v>
      </c>
      <c r="O9">
        <v>31685</v>
      </c>
      <c r="P9">
        <v>4749</v>
      </c>
      <c r="Q9">
        <v>68</v>
      </c>
      <c r="R9">
        <v>69</v>
      </c>
      <c r="S9">
        <v>64</v>
      </c>
      <c r="T9">
        <v>30</v>
      </c>
      <c r="U9">
        <v>11</v>
      </c>
    </row>
    <row r="12" spans="1:21" x14ac:dyDescent="0.25">
      <c r="L12" t="s">
        <v>294</v>
      </c>
      <c r="M12" t="s">
        <v>293</v>
      </c>
      <c r="N12" s="286">
        <v>45158.08556712963</v>
      </c>
      <c r="O12">
        <v>11872</v>
      </c>
      <c r="P12">
        <v>517</v>
      </c>
      <c r="Q12">
        <v>94</v>
      </c>
      <c r="R12">
        <v>93</v>
      </c>
      <c r="S12">
        <v>93</v>
      </c>
      <c r="T12">
        <v>57</v>
      </c>
      <c r="U12">
        <v>14</v>
      </c>
    </row>
    <row r="13" spans="1:21" x14ac:dyDescent="0.25">
      <c r="L13" t="s">
        <v>160</v>
      </c>
      <c r="M13" t="s">
        <v>240</v>
      </c>
      <c r="N13" s="286">
        <v>45181.375115740739</v>
      </c>
      <c r="O13">
        <v>30045</v>
      </c>
      <c r="P13">
        <v>18914</v>
      </c>
      <c r="Q13">
        <v>100</v>
      </c>
      <c r="R13">
        <v>100</v>
      </c>
      <c r="S13">
        <v>100</v>
      </c>
      <c r="T13">
        <v>89</v>
      </c>
      <c r="U13">
        <v>15</v>
      </c>
    </row>
    <row r="16" spans="1:21" x14ac:dyDescent="0.25">
      <c r="L16" t="s">
        <v>162</v>
      </c>
      <c r="M16" t="s">
        <v>243</v>
      </c>
      <c r="N16" s="286">
        <v>45181.627337962964</v>
      </c>
      <c r="O16">
        <v>71511</v>
      </c>
      <c r="P16">
        <v>5782</v>
      </c>
      <c r="Q16">
        <v>57</v>
      </c>
      <c r="R16">
        <v>58</v>
      </c>
      <c r="S16">
        <v>45</v>
      </c>
      <c r="T16">
        <v>79</v>
      </c>
      <c r="U16">
        <v>18</v>
      </c>
    </row>
    <row r="17" spans="1:21" x14ac:dyDescent="0.25">
      <c r="L17" t="s">
        <v>317</v>
      </c>
      <c r="M17" t="s">
        <v>318</v>
      </c>
      <c r="N17" s="286">
        <v>45158.085231481484</v>
      </c>
      <c r="O17">
        <v>3742</v>
      </c>
      <c r="P17">
        <v>424</v>
      </c>
      <c r="Q17">
        <v>96</v>
      </c>
      <c r="R17">
        <v>94</v>
      </c>
      <c r="S17">
        <v>95</v>
      </c>
      <c r="T17">
        <v>83</v>
      </c>
      <c r="U17">
        <v>19</v>
      </c>
    </row>
    <row r="20" spans="1:21" x14ac:dyDescent="0.25">
      <c r="L20" t="s">
        <v>165</v>
      </c>
      <c r="M20" t="s">
        <v>246</v>
      </c>
      <c r="N20" s="286">
        <v>45170.043541666666</v>
      </c>
      <c r="O20">
        <v>74960</v>
      </c>
      <c r="P20">
        <v>35526</v>
      </c>
      <c r="Q20">
        <v>16</v>
      </c>
      <c r="R20">
        <v>18</v>
      </c>
      <c r="S20">
        <v>18</v>
      </c>
      <c r="T20">
        <v>42</v>
      </c>
      <c r="U20">
        <v>22</v>
      </c>
    </row>
    <row r="21" spans="1:21" x14ac:dyDescent="0.25">
      <c r="L21" t="s">
        <v>177</v>
      </c>
      <c r="M21" t="s">
        <v>247</v>
      </c>
      <c r="N21" s="286">
        <v>45170.547511574077</v>
      </c>
      <c r="O21">
        <v>41979</v>
      </c>
      <c r="P21">
        <v>13231</v>
      </c>
      <c r="Q21" s="287">
        <v>5</v>
      </c>
      <c r="R21">
        <v>91</v>
      </c>
      <c r="S21">
        <v>92</v>
      </c>
      <c r="T21">
        <v>36</v>
      </c>
      <c r="U21">
        <v>23</v>
      </c>
    </row>
    <row r="25" spans="1:21" x14ac:dyDescent="0.25">
      <c r="L25" t="s">
        <v>168</v>
      </c>
      <c r="M25" t="s">
        <v>252</v>
      </c>
      <c r="N25" s="286">
        <v>45170.045428240737</v>
      </c>
      <c r="O25">
        <v>123085</v>
      </c>
      <c r="P25">
        <v>88134</v>
      </c>
      <c r="Q25">
        <v>35</v>
      </c>
      <c r="R25">
        <v>48</v>
      </c>
      <c r="S25">
        <v>32</v>
      </c>
      <c r="T25">
        <v>23</v>
      </c>
      <c r="U25">
        <v>30</v>
      </c>
    </row>
    <row r="26" spans="1:21" x14ac:dyDescent="0.25">
      <c r="A26" t="s">
        <v>193</v>
      </c>
      <c r="B26" t="s">
        <v>195</v>
      </c>
      <c r="C26" s="286">
        <v>45170.084745370368</v>
      </c>
      <c r="D26">
        <v>16081</v>
      </c>
      <c r="E26">
        <v>9796</v>
      </c>
      <c r="F26">
        <v>64</v>
      </c>
      <c r="G26">
        <v>61</v>
      </c>
      <c r="H26">
        <v>57</v>
      </c>
      <c r="I26">
        <v>89</v>
      </c>
      <c r="J26">
        <v>31</v>
      </c>
      <c r="L26" t="s">
        <v>209</v>
      </c>
      <c r="M26" t="s">
        <v>248</v>
      </c>
      <c r="N26" s="286">
        <v>45158.00240740741</v>
      </c>
      <c r="O26">
        <v>18831</v>
      </c>
      <c r="P26">
        <v>2207</v>
      </c>
      <c r="Q26">
        <v>86</v>
      </c>
      <c r="R26">
        <v>85</v>
      </c>
      <c r="S26">
        <v>84</v>
      </c>
      <c r="T26">
        <v>13</v>
      </c>
      <c r="U26">
        <v>26</v>
      </c>
    </row>
    <row r="27" spans="1:21" x14ac:dyDescent="0.25">
      <c r="A27" t="s">
        <v>251</v>
      </c>
      <c r="B27" t="s">
        <v>214</v>
      </c>
      <c r="C27" s="286">
        <v>45158.001701388886</v>
      </c>
      <c r="D27">
        <v>40797</v>
      </c>
      <c r="E27">
        <v>5020</v>
      </c>
      <c r="F27">
        <v>81</v>
      </c>
      <c r="G27">
        <v>79</v>
      </c>
      <c r="H27">
        <v>79</v>
      </c>
      <c r="I27">
        <v>80</v>
      </c>
      <c r="J27">
        <v>32</v>
      </c>
      <c r="L27" t="s">
        <v>166</v>
      </c>
      <c r="M27" t="s">
        <v>249</v>
      </c>
      <c r="N27" s="286">
        <v>45181.690046296295</v>
      </c>
      <c r="O27">
        <v>46176</v>
      </c>
      <c r="P27">
        <v>49285</v>
      </c>
      <c r="Q27">
        <v>19</v>
      </c>
      <c r="R27" s="287">
        <v>5</v>
      </c>
      <c r="S27" s="287">
        <v>5</v>
      </c>
      <c r="T27">
        <v>71</v>
      </c>
      <c r="U27">
        <v>27</v>
      </c>
    </row>
    <row r="28" spans="1:21" x14ac:dyDescent="0.25">
      <c r="A28" t="s">
        <v>221</v>
      </c>
      <c r="B28" t="s">
        <v>219</v>
      </c>
      <c r="C28" s="286">
        <v>45158.002233796295</v>
      </c>
      <c r="D28">
        <v>5755</v>
      </c>
      <c r="E28">
        <v>4462</v>
      </c>
      <c r="F28">
        <v>81</v>
      </c>
      <c r="G28">
        <v>81</v>
      </c>
      <c r="H28">
        <v>77</v>
      </c>
      <c r="I28">
        <v>54</v>
      </c>
      <c r="J28">
        <v>33</v>
      </c>
    </row>
    <row r="29" spans="1:21" x14ac:dyDescent="0.25">
      <c r="A29" t="s">
        <v>167</v>
      </c>
      <c r="B29" t="s">
        <v>217</v>
      </c>
      <c r="C29" s="286">
        <v>45174.720532407409</v>
      </c>
      <c r="D29">
        <v>182578</v>
      </c>
      <c r="E29">
        <v>17622</v>
      </c>
      <c r="F29">
        <v>72</v>
      </c>
      <c r="G29">
        <v>77</v>
      </c>
      <c r="H29">
        <v>66</v>
      </c>
      <c r="I29">
        <v>17</v>
      </c>
      <c r="J29">
        <v>34</v>
      </c>
    </row>
    <row r="30" spans="1:21" x14ac:dyDescent="0.25">
      <c r="A30" t="s">
        <v>167</v>
      </c>
      <c r="B30" t="s">
        <v>340</v>
      </c>
      <c r="C30" s="286">
        <v>45135.376331018517</v>
      </c>
      <c r="D30">
        <v>0</v>
      </c>
      <c r="E30">
        <v>0</v>
      </c>
      <c r="F30">
        <v>98</v>
      </c>
      <c r="G30">
        <v>97</v>
      </c>
      <c r="H30">
        <v>97</v>
      </c>
      <c r="I30">
        <v>97</v>
      </c>
      <c r="J30">
        <v>35</v>
      </c>
    </row>
    <row r="31" spans="1:21" x14ac:dyDescent="0.25">
      <c r="A31" t="s">
        <v>185</v>
      </c>
      <c r="B31" t="s">
        <v>253</v>
      </c>
      <c r="C31" s="286">
        <v>45170.358252314814</v>
      </c>
      <c r="D31">
        <v>21796</v>
      </c>
      <c r="E31">
        <v>4527</v>
      </c>
      <c r="F31">
        <v>39</v>
      </c>
      <c r="G31">
        <v>42</v>
      </c>
      <c r="H31">
        <v>26</v>
      </c>
      <c r="I31">
        <v>30</v>
      </c>
      <c r="J31">
        <v>36</v>
      </c>
    </row>
    <row r="32" spans="1:21" x14ac:dyDescent="0.25">
      <c r="A32" t="s">
        <v>201</v>
      </c>
      <c r="B32" t="s">
        <v>197</v>
      </c>
      <c r="C32" s="286">
        <v>45170.001875000002</v>
      </c>
      <c r="D32">
        <v>56258</v>
      </c>
      <c r="E32">
        <v>3918</v>
      </c>
      <c r="F32">
        <v>83</v>
      </c>
      <c r="G32">
        <v>82</v>
      </c>
      <c r="H32">
        <v>79</v>
      </c>
      <c r="I32">
        <v>62</v>
      </c>
      <c r="J32">
        <v>37</v>
      </c>
    </row>
    <row r="33" spans="1:10" x14ac:dyDescent="0.25">
      <c r="A33" t="s">
        <v>344</v>
      </c>
      <c r="B33" t="s">
        <v>346</v>
      </c>
      <c r="C33" s="286">
        <v>45158.085219907407</v>
      </c>
      <c r="D33">
        <v>1044</v>
      </c>
      <c r="E33">
        <v>407</v>
      </c>
      <c r="F33">
        <v>95</v>
      </c>
      <c r="G33">
        <v>95</v>
      </c>
      <c r="H33">
        <v>96</v>
      </c>
      <c r="I33">
        <v>93</v>
      </c>
      <c r="J33">
        <v>38</v>
      </c>
    </row>
    <row r="34" spans="1:10" x14ac:dyDescent="0.25">
      <c r="A34" t="s">
        <v>289</v>
      </c>
      <c r="B34" t="s">
        <v>290</v>
      </c>
      <c r="C34" s="286">
        <v>45158.001701388886</v>
      </c>
      <c r="D34">
        <v>4540</v>
      </c>
      <c r="E34">
        <v>724</v>
      </c>
      <c r="F34">
        <v>95</v>
      </c>
      <c r="G34">
        <v>94</v>
      </c>
      <c r="H34">
        <v>95</v>
      </c>
      <c r="I34">
        <v>82</v>
      </c>
      <c r="J34">
        <v>39</v>
      </c>
    </row>
    <row r="35" spans="1:10" x14ac:dyDescent="0.25">
      <c r="A35" t="s">
        <v>169</v>
      </c>
      <c r="B35" t="s">
        <v>256</v>
      </c>
      <c r="C35" s="286">
        <v>45183.722592592596</v>
      </c>
      <c r="D35">
        <v>69447</v>
      </c>
      <c r="E35">
        <v>45063</v>
      </c>
      <c r="F35">
        <v>40</v>
      </c>
      <c r="G35">
        <v>48</v>
      </c>
      <c r="H35">
        <v>62</v>
      </c>
      <c r="I35">
        <v>24</v>
      </c>
      <c r="J35">
        <v>42</v>
      </c>
    </row>
    <row r="36" spans="1:10" x14ac:dyDescent="0.25">
      <c r="A36" t="s">
        <v>350</v>
      </c>
      <c r="B36" t="s">
        <v>286</v>
      </c>
      <c r="C36" s="286">
        <v>45158.043321759258</v>
      </c>
      <c r="D36">
        <v>6633</v>
      </c>
      <c r="E36">
        <v>1452</v>
      </c>
      <c r="F36">
        <v>91</v>
      </c>
      <c r="G36">
        <v>90</v>
      </c>
      <c r="H36">
        <v>90</v>
      </c>
      <c r="I36">
        <v>70</v>
      </c>
      <c r="J36">
        <v>43</v>
      </c>
    </row>
    <row r="37" spans="1:10" x14ac:dyDescent="0.25">
      <c r="A37" t="s">
        <v>282</v>
      </c>
      <c r="B37" t="s">
        <v>189</v>
      </c>
      <c r="C37" s="286">
        <v>45173.484201388892</v>
      </c>
      <c r="D37">
        <v>85821</v>
      </c>
      <c r="E37">
        <v>12834</v>
      </c>
      <c r="F37">
        <v>30</v>
      </c>
      <c r="G37">
        <v>19</v>
      </c>
      <c r="H37">
        <v>16</v>
      </c>
      <c r="I37">
        <v>70</v>
      </c>
      <c r="J37">
        <v>44</v>
      </c>
    </row>
    <row r="38" spans="1:10" x14ac:dyDescent="0.25">
      <c r="A38" t="s">
        <v>282</v>
      </c>
      <c r="B38" t="s">
        <v>190</v>
      </c>
      <c r="C38" s="286">
        <v>45182.674131944441</v>
      </c>
      <c r="D38">
        <v>50056</v>
      </c>
      <c r="E38">
        <v>8563</v>
      </c>
      <c r="F38">
        <v>70</v>
      </c>
      <c r="G38">
        <v>71</v>
      </c>
      <c r="H38">
        <v>68</v>
      </c>
      <c r="I38" s="287">
        <v>7</v>
      </c>
      <c r="J38">
        <v>45</v>
      </c>
    </row>
    <row r="39" spans="1:10" x14ac:dyDescent="0.25">
      <c r="A39" t="s">
        <v>170</v>
      </c>
      <c r="B39" t="s">
        <v>257</v>
      </c>
      <c r="C39" s="286">
        <v>45184.363715277781</v>
      </c>
      <c r="D39">
        <v>121941</v>
      </c>
      <c r="E39">
        <v>32248</v>
      </c>
      <c r="F39">
        <v>45</v>
      </c>
      <c r="G39">
        <v>51</v>
      </c>
      <c r="H39">
        <v>40</v>
      </c>
      <c r="I39">
        <v>69</v>
      </c>
      <c r="J39">
        <v>46</v>
      </c>
    </row>
    <row r="40" spans="1:10" x14ac:dyDescent="0.25">
      <c r="A40" t="s">
        <v>171</v>
      </c>
      <c r="B40" t="s">
        <v>258</v>
      </c>
      <c r="C40" s="286">
        <v>45158.001828703702</v>
      </c>
      <c r="D40">
        <v>69214</v>
      </c>
      <c r="E40">
        <v>0</v>
      </c>
      <c r="F40" s="287"/>
      <c r="G40" s="287"/>
      <c r="H40" s="287"/>
      <c r="I40">
        <v>55</v>
      </c>
      <c r="J40">
        <v>47</v>
      </c>
    </row>
    <row r="41" spans="1:10" x14ac:dyDescent="0.25">
      <c r="A41" t="s">
        <v>171</v>
      </c>
      <c r="B41" t="s">
        <v>237</v>
      </c>
      <c r="C41" s="286">
        <v>45183.398680555554</v>
      </c>
      <c r="D41">
        <v>25127</v>
      </c>
      <c r="E41">
        <v>4124</v>
      </c>
      <c r="F41">
        <v>81</v>
      </c>
      <c r="G41">
        <v>81</v>
      </c>
      <c r="H41">
        <v>82</v>
      </c>
      <c r="I41">
        <v>100</v>
      </c>
      <c r="J41">
        <v>48</v>
      </c>
    </row>
    <row r="42" spans="1:10" x14ac:dyDescent="0.25">
      <c r="A42" t="s">
        <v>171</v>
      </c>
      <c r="B42" t="s">
        <v>260</v>
      </c>
      <c r="C42" s="286">
        <v>45158.601550925923</v>
      </c>
      <c r="D42">
        <v>17882</v>
      </c>
      <c r="E42">
        <v>11680</v>
      </c>
      <c r="F42">
        <v>48</v>
      </c>
      <c r="G42">
        <v>47</v>
      </c>
      <c r="H42">
        <v>40</v>
      </c>
      <c r="I42">
        <v>72</v>
      </c>
      <c r="J42">
        <v>49</v>
      </c>
    </row>
    <row r="43" spans="1:10" x14ac:dyDescent="0.25">
      <c r="A43" t="s">
        <v>171</v>
      </c>
      <c r="B43" t="s">
        <v>259</v>
      </c>
      <c r="C43" s="286">
        <v>45183.388460648152</v>
      </c>
      <c r="D43">
        <v>412379</v>
      </c>
      <c r="E43">
        <v>21997</v>
      </c>
      <c r="F43">
        <v>96</v>
      </c>
      <c r="G43">
        <v>93</v>
      </c>
      <c r="H43">
        <v>95</v>
      </c>
      <c r="I43">
        <v>69</v>
      </c>
      <c r="J43">
        <v>50</v>
      </c>
    </row>
    <row r="44" spans="1:10" x14ac:dyDescent="0.25">
      <c r="A44" t="s">
        <v>178</v>
      </c>
      <c r="B44" t="s">
        <v>262</v>
      </c>
      <c r="C44" s="286">
        <v>45170.043993055559</v>
      </c>
      <c r="D44">
        <v>183560</v>
      </c>
      <c r="E44">
        <v>0</v>
      </c>
      <c r="F44" s="287"/>
      <c r="G44" s="287"/>
      <c r="H44" s="287"/>
      <c r="I44">
        <v>16</v>
      </c>
      <c r="J44">
        <v>51</v>
      </c>
    </row>
    <row r="45" spans="1:10" x14ac:dyDescent="0.25">
      <c r="A45" t="s">
        <v>172</v>
      </c>
      <c r="B45" t="s">
        <v>264</v>
      </c>
      <c r="C45" s="286">
        <v>45170.043773148151</v>
      </c>
      <c r="D45">
        <v>171304</v>
      </c>
      <c r="E45">
        <v>0</v>
      </c>
      <c r="F45" s="287"/>
      <c r="G45" s="287"/>
      <c r="H45" s="287"/>
      <c r="I45" s="287">
        <v>6</v>
      </c>
      <c r="J45">
        <v>52</v>
      </c>
    </row>
    <row r="46" spans="1:10" x14ac:dyDescent="0.25">
      <c r="A46" t="s">
        <v>173</v>
      </c>
      <c r="B46" t="s">
        <v>265</v>
      </c>
      <c r="C46" s="286">
        <v>45182.731435185182</v>
      </c>
      <c r="D46">
        <v>41022</v>
      </c>
      <c r="E46">
        <v>6348</v>
      </c>
      <c r="F46">
        <v>15</v>
      </c>
      <c r="G46">
        <v>13</v>
      </c>
      <c r="H46" s="287">
        <v>5</v>
      </c>
      <c r="I46">
        <v>99</v>
      </c>
      <c r="J46">
        <v>53</v>
      </c>
    </row>
    <row r="47" spans="1:10" x14ac:dyDescent="0.25">
      <c r="A47" t="s">
        <v>174</v>
      </c>
      <c r="B47" t="s">
        <v>266</v>
      </c>
      <c r="C47" s="286">
        <v>45180.374259259261</v>
      </c>
      <c r="D47">
        <v>105165</v>
      </c>
      <c r="E47">
        <v>45032</v>
      </c>
      <c r="F47">
        <v>87</v>
      </c>
      <c r="G47">
        <v>32</v>
      </c>
      <c r="H47">
        <v>92</v>
      </c>
      <c r="I47">
        <v>64</v>
      </c>
      <c r="J47">
        <v>54</v>
      </c>
    </row>
    <row r="48" spans="1:10" x14ac:dyDescent="0.25">
      <c r="A48" t="s">
        <v>175</v>
      </c>
      <c r="B48" t="s">
        <v>143</v>
      </c>
      <c r="C48" s="286">
        <v>45169.996053240742</v>
      </c>
      <c r="D48">
        <v>202696</v>
      </c>
      <c r="E48">
        <v>0</v>
      </c>
      <c r="F48" s="287"/>
      <c r="G48" s="287"/>
      <c r="H48" s="287"/>
      <c r="I48">
        <v>97</v>
      </c>
      <c r="J48">
        <v>55</v>
      </c>
    </row>
    <row r="49" spans="1:10" x14ac:dyDescent="0.25">
      <c r="A49" t="s">
        <v>175</v>
      </c>
      <c r="B49" t="s">
        <v>142</v>
      </c>
      <c r="C49" s="286">
        <v>45169.999027777776</v>
      </c>
      <c r="D49">
        <v>194717</v>
      </c>
      <c r="E49">
        <v>0</v>
      </c>
      <c r="F49" s="287"/>
      <c r="G49" s="287"/>
      <c r="H49" s="287"/>
      <c r="I49">
        <v>60</v>
      </c>
      <c r="J49">
        <v>56</v>
      </c>
    </row>
    <row r="50" spans="1:10" x14ac:dyDescent="0.25">
      <c r="A50" t="s">
        <v>360</v>
      </c>
      <c r="B50" t="s">
        <v>284</v>
      </c>
      <c r="C50" s="286">
        <v>45097.04351851852</v>
      </c>
      <c r="D50">
        <v>11889</v>
      </c>
      <c r="E50">
        <v>15160</v>
      </c>
      <c r="F50">
        <v>28</v>
      </c>
      <c r="G50">
        <v>21</v>
      </c>
      <c r="H50">
        <v>30</v>
      </c>
      <c r="I50">
        <v>21</v>
      </c>
      <c r="J50">
        <v>60</v>
      </c>
    </row>
    <row r="51" spans="1:10" x14ac:dyDescent="0.25">
      <c r="A51" t="s">
        <v>383</v>
      </c>
      <c r="C51" s="286">
        <v>45187.814629629633</v>
      </c>
      <c r="D51" t="s">
        <v>382</v>
      </c>
      <c r="E51">
        <v>0</v>
      </c>
      <c r="F51" s="287"/>
      <c r="G51" s="287"/>
      <c r="H51" s="287"/>
      <c r="I51" t="s">
        <v>382</v>
      </c>
      <c r="J51" t="s">
        <v>42</v>
      </c>
    </row>
    <row r="52" spans="1:10" x14ac:dyDescent="0.25">
      <c r="A52" t="s">
        <v>288</v>
      </c>
      <c r="B52">
        <v>1382800465</v>
      </c>
      <c r="C52" s="286">
        <v>45184.407766203702</v>
      </c>
      <c r="D52">
        <v>241487</v>
      </c>
      <c r="E52">
        <v>0</v>
      </c>
      <c r="F52" s="287"/>
      <c r="G52" s="287"/>
      <c r="H52" s="287"/>
      <c r="I52" s="287">
        <v>10</v>
      </c>
      <c r="J52" t="s">
        <v>42</v>
      </c>
    </row>
    <row r="53" spans="1:10" x14ac:dyDescent="0.25">
      <c r="A53" t="s">
        <v>384</v>
      </c>
      <c r="C53" s="286">
        <v>45183.855104166665</v>
      </c>
      <c r="D53" t="s">
        <v>382</v>
      </c>
      <c r="E53">
        <v>0</v>
      </c>
      <c r="F53" s="287"/>
      <c r="G53" s="287"/>
      <c r="H53" s="287"/>
      <c r="I53" t="s">
        <v>382</v>
      </c>
      <c r="J53" t="s">
        <v>42</v>
      </c>
    </row>
    <row r="54" spans="1:10" x14ac:dyDescent="0.25">
      <c r="A54" t="s">
        <v>378</v>
      </c>
      <c r="B54" t="s">
        <v>379</v>
      </c>
      <c r="C54" s="286">
        <v>45104.693530092591</v>
      </c>
      <c r="D54">
        <v>83528</v>
      </c>
      <c r="E54">
        <v>0</v>
      </c>
      <c r="F54" s="287"/>
      <c r="G54" s="287"/>
      <c r="H54" s="287"/>
      <c r="I54">
        <v>41</v>
      </c>
      <c r="J54" t="s">
        <v>42</v>
      </c>
    </row>
    <row r="55" spans="1:10" x14ac:dyDescent="0.25">
      <c r="A55" t="s">
        <v>374</v>
      </c>
      <c r="B55" t="s">
        <v>375</v>
      </c>
      <c r="C55" s="286">
        <v>45103.28125</v>
      </c>
      <c r="D55">
        <v>238436</v>
      </c>
      <c r="E55">
        <v>40230</v>
      </c>
      <c r="F55">
        <v>30</v>
      </c>
      <c r="G55">
        <v>43</v>
      </c>
      <c r="H55">
        <v>14</v>
      </c>
      <c r="I55">
        <v>74</v>
      </c>
      <c r="J55" t="s">
        <v>42</v>
      </c>
    </row>
    <row r="56" spans="1:10" x14ac:dyDescent="0.25">
      <c r="A56" t="s">
        <v>380</v>
      </c>
      <c r="B56" t="s">
        <v>381</v>
      </c>
      <c r="C56" s="286">
        <v>45095.291724537034</v>
      </c>
      <c r="D56">
        <v>53099</v>
      </c>
      <c r="E56">
        <v>0</v>
      </c>
      <c r="F56" s="287"/>
      <c r="G56" s="287"/>
      <c r="H56" s="287"/>
      <c r="I56">
        <v>72</v>
      </c>
      <c r="J56" t="s">
        <v>42</v>
      </c>
    </row>
    <row r="57" spans="1:10" x14ac:dyDescent="0.25">
      <c r="A57" t="s">
        <v>376</v>
      </c>
      <c r="B57" t="s">
        <v>377</v>
      </c>
      <c r="C57" s="286">
        <v>45078.317569444444</v>
      </c>
      <c r="D57">
        <v>40580</v>
      </c>
      <c r="E57">
        <v>22413</v>
      </c>
      <c r="F57">
        <v>61</v>
      </c>
      <c r="G57">
        <v>76</v>
      </c>
      <c r="H57">
        <v>30</v>
      </c>
      <c r="I57">
        <v>63</v>
      </c>
      <c r="J57" t="s">
        <v>42</v>
      </c>
    </row>
  </sheetData>
  <sortState xmlns:xlrd2="http://schemas.microsoft.com/office/spreadsheetml/2017/richdata2" ref="A2:J57">
    <sortCondition ref="J1:J5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7C019-E348-482E-BCE0-0C4096470A94}">
  <sheetPr codeName="Foglio10"/>
  <dimension ref="A1:J1976"/>
  <sheetViews>
    <sheetView topLeftCell="A1844" workbookViewId="0">
      <selection activeCell="A1856" sqref="A1856"/>
    </sheetView>
  </sheetViews>
  <sheetFormatPr defaultRowHeight="15" x14ac:dyDescent="0.25"/>
  <cols>
    <col min="1" max="1" width="46.42578125" bestFit="1" customWidth="1"/>
    <col min="2" max="2" width="7.140625" bestFit="1" customWidth="1"/>
    <col min="3" max="3" width="15.85546875" bestFit="1" customWidth="1"/>
  </cols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386</v>
      </c>
      <c r="C2" s="286">
        <v>45087.609583333331</v>
      </c>
      <c r="D2" t="s">
        <v>382</v>
      </c>
      <c r="E2">
        <v>0</v>
      </c>
      <c r="F2" s="287"/>
      <c r="G2" s="287"/>
      <c r="H2" s="287"/>
      <c r="I2" t="s">
        <v>382</v>
      </c>
      <c r="J2" t="s">
        <v>42</v>
      </c>
    </row>
    <row r="3" spans="1:10" x14ac:dyDescent="0.25">
      <c r="A3" t="s">
        <v>387</v>
      </c>
      <c r="C3" s="286">
        <v>45087.961458333331</v>
      </c>
      <c r="D3" t="s">
        <v>382</v>
      </c>
      <c r="E3">
        <v>0</v>
      </c>
      <c r="F3" s="287"/>
      <c r="G3" s="287"/>
      <c r="H3" s="287"/>
      <c r="I3" t="s">
        <v>382</v>
      </c>
      <c r="J3" t="s">
        <v>42</v>
      </c>
    </row>
    <row r="4" spans="1:10" x14ac:dyDescent="0.25">
      <c r="A4" t="s">
        <v>386</v>
      </c>
      <c r="C4" s="286">
        <v>45089.713912037034</v>
      </c>
      <c r="D4" t="s">
        <v>382</v>
      </c>
      <c r="E4">
        <v>0</v>
      </c>
      <c r="F4" s="287"/>
      <c r="G4" s="287"/>
      <c r="H4" s="287"/>
      <c r="I4" t="s">
        <v>382</v>
      </c>
      <c r="J4" t="s">
        <v>42</v>
      </c>
    </row>
    <row r="5" spans="1:10" x14ac:dyDescent="0.25">
      <c r="A5" t="s">
        <v>388</v>
      </c>
      <c r="C5" s="286">
        <v>45089.777083333334</v>
      </c>
      <c r="D5" t="s">
        <v>382</v>
      </c>
      <c r="E5">
        <v>0</v>
      </c>
      <c r="F5" s="287"/>
      <c r="G5" s="287"/>
      <c r="H5" s="287"/>
      <c r="I5" t="s">
        <v>382</v>
      </c>
      <c r="J5" t="s">
        <v>42</v>
      </c>
    </row>
    <row r="6" spans="1:10" x14ac:dyDescent="0.25">
      <c r="A6" t="s">
        <v>389</v>
      </c>
      <c r="C6" s="286">
        <v>45089.77789351852</v>
      </c>
      <c r="D6" t="s">
        <v>382</v>
      </c>
      <c r="E6">
        <v>0</v>
      </c>
      <c r="F6" s="287"/>
      <c r="G6" s="287"/>
      <c r="H6" s="287"/>
      <c r="I6" t="s">
        <v>382</v>
      </c>
      <c r="J6" t="s">
        <v>42</v>
      </c>
    </row>
    <row r="7" spans="1:10" x14ac:dyDescent="0.25">
      <c r="A7" t="s">
        <v>390</v>
      </c>
      <c r="C7" s="286">
        <v>41533.897418981483</v>
      </c>
      <c r="D7" t="s">
        <v>382</v>
      </c>
      <c r="E7">
        <v>0</v>
      </c>
      <c r="F7" s="287"/>
      <c r="G7" s="287"/>
      <c r="H7" s="287"/>
      <c r="I7" t="s">
        <v>382</v>
      </c>
      <c r="J7" t="s">
        <v>42</v>
      </c>
    </row>
    <row r="8" spans="1:10" x14ac:dyDescent="0.25">
      <c r="A8" t="s">
        <v>390</v>
      </c>
      <c r="C8" s="286">
        <v>41534.418796296297</v>
      </c>
      <c r="D8" t="s">
        <v>382</v>
      </c>
      <c r="E8">
        <v>0</v>
      </c>
      <c r="F8" s="287"/>
      <c r="G8" s="287"/>
      <c r="H8" s="287"/>
      <c r="I8" t="s">
        <v>382</v>
      </c>
      <c r="J8" t="s">
        <v>42</v>
      </c>
    </row>
    <row r="9" spans="1:10" x14ac:dyDescent="0.25">
      <c r="A9" t="s">
        <v>390</v>
      </c>
      <c r="C9" s="286">
        <v>41535.708680555559</v>
      </c>
      <c r="D9" t="s">
        <v>382</v>
      </c>
      <c r="E9">
        <v>0</v>
      </c>
      <c r="F9" s="287"/>
      <c r="G9" s="287"/>
      <c r="H9" s="287"/>
      <c r="I9" t="s">
        <v>382</v>
      </c>
      <c r="J9" t="s">
        <v>42</v>
      </c>
    </row>
    <row r="10" spans="1:10" x14ac:dyDescent="0.25">
      <c r="A10" t="s">
        <v>390</v>
      </c>
      <c r="C10" s="286">
        <v>41541.218425925923</v>
      </c>
      <c r="D10" t="s">
        <v>382</v>
      </c>
      <c r="E10">
        <v>0</v>
      </c>
      <c r="F10" s="287"/>
      <c r="G10" s="287"/>
      <c r="H10" s="287"/>
      <c r="I10" t="s">
        <v>382</v>
      </c>
      <c r="J10" t="s">
        <v>42</v>
      </c>
    </row>
    <row r="11" spans="1:10" x14ac:dyDescent="0.25">
      <c r="A11" t="s">
        <v>390</v>
      </c>
      <c r="C11" s="286">
        <v>41543.853668981479</v>
      </c>
      <c r="D11" t="s">
        <v>382</v>
      </c>
      <c r="E11">
        <v>0</v>
      </c>
      <c r="F11" s="287"/>
      <c r="G11" s="287"/>
      <c r="H11" s="287"/>
      <c r="I11" t="s">
        <v>382</v>
      </c>
      <c r="J11" t="s">
        <v>42</v>
      </c>
    </row>
    <row r="12" spans="1:10" x14ac:dyDescent="0.25">
      <c r="A12" t="s">
        <v>390</v>
      </c>
      <c r="C12" s="286">
        <v>41547.794282407405</v>
      </c>
      <c r="D12" t="s">
        <v>382</v>
      </c>
      <c r="E12">
        <v>0</v>
      </c>
      <c r="F12" s="287"/>
      <c r="G12" s="287"/>
      <c r="H12" s="287"/>
      <c r="I12" t="s">
        <v>382</v>
      </c>
      <c r="J12" t="s">
        <v>42</v>
      </c>
    </row>
    <row r="13" spans="1:10" x14ac:dyDescent="0.25">
      <c r="A13" t="s">
        <v>390</v>
      </c>
      <c r="C13" s="286">
        <v>41551.210879629631</v>
      </c>
      <c r="D13" t="s">
        <v>382</v>
      </c>
      <c r="E13">
        <v>0</v>
      </c>
      <c r="F13" s="287"/>
      <c r="G13" s="287"/>
      <c r="H13" s="287"/>
      <c r="I13" t="s">
        <v>382</v>
      </c>
      <c r="J13" t="s">
        <v>42</v>
      </c>
    </row>
    <row r="14" spans="1:10" x14ac:dyDescent="0.25">
      <c r="A14" t="s">
        <v>390</v>
      </c>
      <c r="C14" s="286">
        <v>41554.746134259258</v>
      </c>
      <c r="D14" t="s">
        <v>382</v>
      </c>
      <c r="E14">
        <v>0</v>
      </c>
      <c r="F14" s="287"/>
      <c r="G14" s="287"/>
      <c r="H14" s="287"/>
      <c r="I14" t="s">
        <v>382</v>
      </c>
      <c r="J14" t="s">
        <v>42</v>
      </c>
    </row>
    <row r="15" spans="1:10" x14ac:dyDescent="0.25">
      <c r="A15" t="s">
        <v>390</v>
      </c>
      <c r="C15" s="286">
        <v>41564.066087962965</v>
      </c>
      <c r="D15" t="s">
        <v>382</v>
      </c>
      <c r="E15">
        <v>0</v>
      </c>
      <c r="F15" s="287"/>
      <c r="G15" s="287"/>
      <c r="H15" s="287"/>
      <c r="I15" t="s">
        <v>382</v>
      </c>
      <c r="J15" t="s">
        <v>42</v>
      </c>
    </row>
    <row r="16" spans="1:10" x14ac:dyDescent="0.25">
      <c r="A16" t="s">
        <v>390</v>
      </c>
      <c r="C16" s="286">
        <v>41567.903935185182</v>
      </c>
      <c r="D16" t="s">
        <v>382</v>
      </c>
      <c r="E16">
        <v>0</v>
      </c>
      <c r="F16" s="287"/>
      <c r="G16" s="287"/>
      <c r="H16" s="287"/>
      <c r="I16" t="s">
        <v>382</v>
      </c>
      <c r="J16" t="s">
        <v>42</v>
      </c>
    </row>
    <row r="17" spans="1:10" x14ac:dyDescent="0.25">
      <c r="A17" t="s">
        <v>390</v>
      </c>
      <c r="C17" s="286">
        <v>41571.880462962959</v>
      </c>
      <c r="D17" t="s">
        <v>382</v>
      </c>
      <c r="E17">
        <v>0</v>
      </c>
      <c r="F17" s="287"/>
      <c r="G17" s="287"/>
      <c r="H17" s="287"/>
      <c r="I17" t="s">
        <v>382</v>
      </c>
      <c r="J17" t="s">
        <v>42</v>
      </c>
    </row>
    <row r="18" spans="1:10" x14ac:dyDescent="0.25">
      <c r="A18" t="s">
        <v>390</v>
      </c>
      <c r="C18" s="286">
        <v>41575.120729166665</v>
      </c>
      <c r="D18" t="s">
        <v>382</v>
      </c>
      <c r="E18">
        <v>0</v>
      </c>
      <c r="F18" s="287"/>
      <c r="G18" s="287"/>
      <c r="H18" s="287"/>
      <c r="I18" t="s">
        <v>382</v>
      </c>
      <c r="J18" t="s">
        <v>42</v>
      </c>
    </row>
    <row r="19" spans="1:10" x14ac:dyDescent="0.25">
      <c r="A19" t="s">
        <v>390</v>
      </c>
      <c r="C19" s="286">
        <v>41578.521597222221</v>
      </c>
      <c r="D19" t="s">
        <v>382</v>
      </c>
      <c r="E19">
        <v>0</v>
      </c>
      <c r="F19" s="287"/>
      <c r="G19" s="287"/>
      <c r="H19" s="287"/>
      <c r="I19" t="s">
        <v>382</v>
      </c>
      <c r="J19" t="s">
        <v>42</v>
      </c>
    </row>
    <row r="20" spans="1:10" x14ac:dyDescent="0.25">
      <c r="A20" t="s">
        <v>390</v>
      </c>
      <c r="C20" s="286">
        <v>41582.318657407406</v>
      </c>
      <c r="D20" t="s">
        <v>382</v>
      </c>
      <c r="E20">
        <v>0</v>
      </c>
      <c r="F20" s="287"/>
      <c r="G20" s="287"/>
      <c r="H20" s="287"/>
      <c r="I20" t="s">
        <v>382</v>
      </c>
      <c r="J20" t="s">
        <v>42</v>
      </c>
    </row>
    <row r="21" spans="1:10" x14ac:dyDescent="0.25">
      <c r="A21" t="s">
        <v>390</v>
      </c>
      <c r="C21" s="286">
        <v>41586.385752314818</v>
      </c>
      <c r="D21" t="s">
        <v>382</v>
      </c>
      <c r="E21">
        <v>0</v>
      </c>
      <c r="F21" s="287"/>
      <c r="G21" s="287"/>
      <c r="H21" s="287"/>
      <c r="I21" t="s">
        <v>382</v>
      </c>
      <c r="J21" t="s">
        <v>42</v>
      </c>
    </row>
    <row r="22" spans="1:10" x14ac:dyDescent="0.25">
      <c r="A22" t="s">
        <v>390</v>
      </c>
      <c r="C22" s="286">
        <v>41589.612326388888</v>
      </c>
      <c r="D22" t="s">
        <v>382</v>
      </c>
      <c r="E22">
        <v>0</v>
      </c>
      <c r="F22" s="287"/>
      <c r="G22" s="287"/>
      <c r="H22" s="287"/>
      <c r="I22" t="s">
        <v>382</v>
      </c>
      <c r="J22" t="s">
        <v>42</v>
      </c>
    </row>
    <row r="23" spans="1:10" x14ac:dyDescent="0.25">
      <c r="A23" t="s">
        <v>391</v>
      </c>
      <c r="C23" s="286">
        <v>41589.79855324074</v>
      </c>
      <c r="D23" t="s">
        <v>382</v>
      </c>
      <c r="E23">
        <v>0</v>
      </c>
      <c r="F23" s="287"/>
      <c r="G23" s="287"/>
      <c r="H23" s="287"/>
      <c r="I23" t="s">
        <v>382</v>
      </c>
      <c r="J23" t="s">
        <v>42</v>
      </c>
    </row>
    <row r="24" spans="1:10" x14ac:dyDescent="0.25">
      <c r="A24" t="s">
        <v>390</v>
      </c>
      <c r="C24" s="286">
        <v>41593.27548611111</v>
      </c>
      <c r="D24" t="s">
        <v>382</v>
      </c>
      <c r="E24">
        <v>0</v>
      </c>
      <c r="F24" s="287"/>
      <c r="G24" s="287"/>
      <c r="H24" s="287"/>
      <c r="I24" t="s">
        <v>382</v>
      </c>
      <c r="J24" t="s">
        <v>42</v>
      </c>
    </row>
    <row r="25" spans="1:10" x14ac:dyDescent="0.25">
      <c r="A25" t="s">
        <v>390</v>
      </c>
      <c r="C25" s="286">
        <v>41598.137708333335</v>
      </c>
      <c r="D25" t="s">
        <v>382</v>
      </c>
      <c r="E25">
        <v>0</v>
      </c>
      <c r="F25" s="287"/>
      <c r="G25" s="287"/>
      <c r="H25" s="287"/>
      <c r="I25" t="s">
        <v>382</v>
      </c>
      <c r="J25" t="s">
        <v>42</v>
      </c>
    </row>
    <row r="26" spans="1:10" x14ac:dyDescent="0.25">
      <c r="A26" t="s">
        <v>390</v>
      </c>
      <c r="C26" s="286">
        <v>41600.319756944446</v>
      </c>
      <c r="D26" t="s">
        <v>382</v>
      </c>
      <c r="E26">
        <v>0</v>
      </c>
      <c r="F26" s="287"/>
      <c r="G26" s="287"/>
      <c r="H26" s="287"/>
      <c r="I26" t="s">
        <v>382</v>
      </c>
      <c r="J26" t="s">
        <v>42</v>
      </c>
    </row>
    <row r="27" spans="1:10" x14ac:dyDescent="0.25">
      <c r="A27" t="s">
        <v>390</v>
      </c>
      <c r="C27" s="286">
        <v>41604.784780092596</v>
      </c>
      <c r="D27" t="s">
        <v>382</v>
      </c>
      <c r="E27">
        <v>0</v>
      </c>
      <c r="F27" s="287"/>
      <c r="G27" s="287"/>
      <c r="H27" s="287"/>
      <c r="I27" t="s">
        <v>382</v>
      </c>
      <c r="J27" t="s">
        <v>42</v>
      </c>
    </row>
    <row r="28" spans="1:10" x14ac:dyDescent="0.25">
      <c r="A28" t="s">
        <v>392</v>
      </c>
      <c r="C28" s="286">
        <v>41608.471817129626</v>
      </c>
      <c r="D28" t="s">
        <v>382</v>
      </c>
      <c r="E28">
        <v>0</v>
      </c>
      <c r="F28" s="287"/>
      <c r="G28" s="287"/>
      <c r="H28" s="287"/>
      <c r="I28" t="s">
        <v>382</v>
      </c>
      <c r="J28" t="s">
        <v>42</v>
      </c>
    </row>
    <row r="29" spans="1:10" x14ac:dyDescent="0.25">
      <c r="A29" t="s">
        <v>393</v>
      </c>
      <c r="C29" s="286">
        <v>41610.756006944444</v>
      </c>
      <c r="D29" t="s">
        <v>382</v>
      </c>
      <c r="E29">
        <v>0</v>
      </c>
      <c r="F29" s="287"/>
      <c r="G29" s="287"/>
      <c r="H29" s="287"/>
      <c r="I29" t="s">
        <v>382</v>
      </c>
      <c r="J29" t="s">
        <v>42</v>
      </c>
    </row>
    <row r="30" spans="1:10" x14ac:dyDescent="0.25">
      <c r="A30" t="s">
        <v>390</v>
      </c>
      <c r="C30" s="286">
        <v>41617.476273148146</v>
      </c>
      <c r="D30" t="s">
        <v>382</v>
      </c>
      <c r="E30">
        <v>0</v>
      </c>
      <c r="F30" s="287"/>
      <c r="G30" s="287"/>
      <c r="H30" s="287"/>
      <c r="I30" t="s">
        <v>382</v>
      </c>
      <c r="J30" t="s">
        <v>42</v>
      </c>
    </row>
    <row r="31" spans="1:10" x14ac:dyDescent="0.25">
      <c r="A31" t="s">
        <v>390</v>
      </c>
      <c r="C31" s="286">
        <v>41619.489837962959</v>
      </c>
      <c r="D31" t="s">
        <v>382</v>
      </c>
      <c r="E31">
        <v>0</v>
      </c>
      <c r="F31" s="287"/>
      <c r="G31" s="287"/>
      <c r="H31" s="287"/>
      <c r="I31" t="s">
        <v>382</v>
      </c>
      <c r="J31" t="s">
        <v>42</v>
      </c>
    </row>
    <row r="32" spans="1:10" x14ac:dyDescent="0.25">
      <c r="A32" t="s">
        <v>390</v>
      </c>
      <c r="C32" s="286">
        <v>41624.478368055556</v>
      </c>
      <c r="D32" t="s">
        <v>382</v>
      </c>
      <c r="E32">
        <v>0</v>
      </c>
      <c r="F32" s="287"/>
      <c r="G32" s="287"/>
      <c r="H32" s="287"/>
      <c r="I32" t="s">
        <v>382</v>
      </c>
      <c r="J32" t="s">
        <v>42</v>
      </c>
    </row>
    <row r="33" spans="1:10" x14ac:dyDescent="0.25">
      <c r="A33" t="s">
        <v>390</v>
      </c>
      <c r="C33" s="286">
        <v>41626.745300925926</v>
      </c>
      <c r="D33" t="s">
        <v>382</v>
      </c>
      <c r="E33">
        <v>0</v>
      </c>
      <c r="F33" s="287"/>
      <c r="G33" s="287"/>
      <c r="H33" s="287"/>
      <c r="I33" t="s">
        <v>382</v>
      </c>
      <c r="J33" t="s">
        <v>42</v>
      </c>
    </row>
    <row r="34" spans="1:10" x14ac:dyDescent="0.25">
      <c r="A34" t="s">
        <v>394</v>
      </c>
      <c r="C34" s="286">
        <v>41628.467569444445</v>
      </c>
      <c r="D34" t="s">
        <v>382</v>
      </c>
      <c r="E34">
        <v>0</v>
      </c>
      <c r="F34" s="287"/>
      <c r="G34" s="287"/>
      <c r="H34" s="287"/>
      <c r="I34" t="s">
        <v>382</v>
      </c>
      <c r="J34" t="s">
        <v>42</v>
      </c>
    </row>
    <row r="35" spans="1:10" x14ac:dyDescent="0.25">
      <c r="A35" t="s">
        <v>390</v>
      </c>
      <c r="C35" s="286">
        <v>41631.489814814813</v>
      </c>
      <c r="D35" t="s">
        <v>382</v>
      </c>
      <c r="E35">
        <v>0</v>
      </c>
      <c r="F35" s="287"/>
      <c r="G35" s="287"/>
      <c r="H35" s="287"/>
      <c r="I35" t="s">
        <v>382</v>
      </c>
      <c r="J35" t="s">
        <v>42</v>
      </c>
    </row>
    <row r="36" spans="1:10" x14ac:dyDescent="0.25">
      <c r="A36" t="s">
        <v>390</v>
      </c>
      <c r="C36" s="286">
        <v>41634.524282407408</v>
      </c>
      <c r="D36" t="s">
        <v>382</v>
      </c>
      <c r="E36">
        <v>0</v>
      </c>
      <c r="F36" s="287"/>
      <c r="G36" s="287"/>
      <c r="H36" s="287"/>
      <c r="I36" t="s">
        <v>382</v>
      </c>
      <c r="J36" t="s">
        <v>42</v>
      </c>
    </row>
    <row r="37" spans="1:10" x14ac:dyDescent="0.25">
      <c r="A37" t="s">
        <v>390</v>
      </c>
      <c r="C37" s="286">
        <v>41638.288252314815</v>
      </c>
      <c r="D37" t="s">
        <v>382</v>
      </c>
      <c r="E37">
        <v>0</v>
      </c>
      <c r="F37" s="287"/>
      <c r="G37" s="287"/>
      <c r="H37" s="287"/>
      <c r="I37" t="s">
        <v>382</v>
      </c>
      <c r="J37" t="s">
        <v>42</v>
      </c>
    </row>
    <row r="38" spans="1:10" x14ac:dyDescent="0.25">
      <c r="A38" t="s">
        <v>390</v>
      </c>
      <c r="C38" s="286">
        <v>41641.63008101852</v>
      </c>
      <c r="D38" t="s">
        <v>382</v>
      </c>
      <c r="E38">
        <v>0</v>
      </c>
      <c r="F38" s="287"/>
      <c r="G38" s="287"/>
      <c r="H38" s="287"/>
      <c r="I38" t="s">
        <v>382</v>
      </c>
      <c r="J38" t="s">
        <v>42</v>
      </c>
    </row>
    <row r="39" spans="1:10" x14ac:dyDescent="0.25">
      <c r="A39" t="s">
        <v>394</v>
      </c>
      <c r="C39" s="286">
        <v>41644.2503125</v>
      </c>
      <c r="D39" t="s">
        <v>382</v>
      </c>
      <c r="E39">
        <v>0</v>
      </c>
      <c r="F39" s="287"/>
      <c r="G39" s="287"/>
      <c r="H39" s="287"/>
      <c r="I39" t="s">
        <v>382</v>
      </c>
      <c r="J39" t="s">
        <v>42</v>
      </c>
    </row>
    <row r="40" spans="1:10" x14ac:dyDescent="0.25">
      <c r="A40" t="s">
        <v>390</v>
      </c>
      <c r="C40" s="286">
        <v>41644.589050925926</v>
      </c>
      <c r="D40" t="s">
        <v>382</v>
      </c>
      <c r="E40">
        <v>0</v>
      </c>
      <c r="F40" s="287"/>
      <c r="G40" s="287"/>
      <c r="H40" s="287"/>
      <c r="I40" t="s">
        <v>382</v>
      </c>
      <c r="J40" t="s">
        <v>42</v>
      </c>
    </row>
    <row r="41" spans="1:10" x14ac:dyDescent="0.25">
      <c r="A41" t="s">
        <v>390</v>
      </c>
      <c r="C41" s="286">
        <v>41647.558958333335</v>
      </c>
      <c r="D41" t="s">
        <v>382</v>
      </c>
      <c r="E41">
        <v>0</v>
      </c>
      <c r="F41" s="287"/>
      <c r="G41" s="287"/>
      <c r="H41" s="287"/>
      <c r="I41" t="s">
        <v>382</v>
      </c>
      <c r="J41" t="s">
        <v>42</v>
      </c>
    </row>
    <row r="42" spans="1:10" x14ac:dyDescent="0.25">
      <c r="A42" t="s">
        <v>390</v>
      </c>
      <c r="C42" s="286">
        <v>41652.272743055553</v>
      </c>
      <c r="D42" t="s">
        <v>382</v>
      </c>
      <c r="E42">
        <v>0</v>
      </c>
      <c r="F42" s="287"/>
      <c r="G42" s="287"/>
      <c r="H42" s="287"/>
      <c r="I42" t="s">
        <v>382</v>
      </c>
      <c r="J42" t="s">
        <v>42</v>
      </c>
    </row>
    <row r="43" spans="1:10" x14ac:dyDescent="0.25">
      <c r="A43" t="s">
        <v>390</v>
      </c>
      <c r="C43" s="286">
        <v>41655.548171296294</v>
      </c>
      <c r="D43" t="s">
        <v>382</v>
      </c>
      <c r="E43">
        <v>0</v>
      </c>
      <c r="F43" s="287"/>
      <c r="G43" s="287"/>
      <c r="H43" s="287"/>
      <c r="I43" t="s">
        <v>382</v>
      </c>
      <c r="J43" t="s">
        <v>42</v>
      </c>
    </row>
    <row r="44" spans="1:10" x14ac:dyDescent="0.25">
      <c r="A44" t="s">
        <v>390</v>
      </c>
      <c r="C44" s="286">
        <v>41659.771597222221</v>
      </c>
      <c r="D44" t="s">
        <v>382</v>
      </c>
      <c r="E44">
        <v>0</v>
      </c>
      <c r="F44" s="287"/>
      <c r="G44" s="287"/>
      <c r="H44" s="287"/>
      <c r="I44" t="s">
        <v>382</v>
      </c>
      <c r="J44" t="s">
        <v>42</v>
      </c>
    </row>
    <row r="45" spans="1:10" x14ac:dyDescent="0.25">
      <c r="A45" t="s">
        <v>390</v>
      </c>
      <c r="C45" s="286">
        <v>41662.422534722224</v>
      </c>
      <c r="D45" t="s">
        <v>382</v>
      </c>
      <c r="E45">
        <v>0</v>
      </c>
      <c r="F45" s="287"/>
      <c r="G45" s="287"/>
      <c r="H45" s="287"/>
      <c r="I45" t="s">
        <v>382</v>
      </c>
      <c r="J45" t="s">
        <v>42</v>
      </c>
    </row>
    <row r="46" spans="1:10" x14ac:dyDescent="0.25">
      <c r="A46" t="s">
        <v>394</v>
      </c>
      <c r="C46" s="286">
        <v>41664.288819444446</v>
      </c>
      <c r="D46" t="s">
        <v>382</v>
      </c>
      <c r="E46">
        <v>0</v>
      </c>
      <c r="F46" s="287"/>
      <c r="G46" s="287"/>
      <c r="H46" s="287"/>
      <c r="I46" t="s">
        <v>382</v>
      </c>
      <c r="J46" t="s">
        <v>42</v>
      </c>
    </row>
    <row r="47" spans="1:10" x14ac:dyDescent="0.25">
      <c r="A47" t="s">
        <v>390</v>
      </c>
      <c r="C47" s="286">
        <v>41665.932002314818</v>
      </c>
      <c r="D47" t="s">
        <v>382</v>
      </c>
      <c r="E47">
        <v>0</v>
      </c>
      <c r="F47" s="287"/>
      <c r="G47" s="287"/>
      <c r="H47" s="287"/>
      <c r="I47" t="s">
        <v>382</v>
      </c>
      <c r="J47" t="s">
        <v>42</v>
      </c>
    </row>
    <row r="48" spans="1:10" x14ac:dyDescent="0.25">
      <c r="A48" t="s">
        <v>390</v>
      </c>
      <c r="C48" s="286">
        <v>41668.929918981485</v>
      </c>
      <c r="D48" t="s">
        <v>382</v>
      </c>
      <c r="E48">
        <v>0</v>
      </c>
      <c r="F48" s="287"/>
      <c r="G48" s="287"/>
      <c r="H48" s="287"/>
      <c r="I48" t="s">
        <v>382</v>
      </c>
      <c r="J48" t="s">
        <v>42</v>
      </c>
    </row>
    <row r="49" spans="1:10" x14ac:dyDescent="0.25">
      <c r="A49" t="s">
        <v>390</v>
      </c>
      <c r="C49" s="286">
        <v>41672.87767361111</v>
      </c>
      <c r="D49" t="s">
        <v>382</v>
      </c>
      <c r="E49">
        <v>0</v>
      </c>
      <c r="F49" s="287"/>
      <c r="G49" s="287"/>
      <c r="H49" s="287"/>
      <c r="I49" t="s">
        <v>382</v>
      </c>
      <c r="J49" t="s">
        <v>42</v>
      </c>
    </row>
    <row r="50" spans="1:10" x14ac:dyDescent="0.25">
      <c r="A50" t="s">
        <v>390</v>
      </c>
      <c r="C50" s="286">
        <v>41676.359791666669</v>
      </c>
      <c r="D50" t="s">
        <v>382</v>
      </c>
      <c r="E50">
        <v>0</v>
      </c>
      <c r="F50" s="287"/>
      <c r="G50" s="287"/>
      <c r="H50" s="287"/>
      <c r="I50" t="s">
        <v>382</v>
      </c>
      <c r="J50" t="s">
        <v>42</v>
      </c>
    </row>
    <row r="51" spans="1:10" x14ac:dyDescent="0.25">
      <c r="A51" t="s">
        <v>390</v>
      </c>
      <c r="C51" s="286">
        <v>41680.020069444443</v>
      </c>
      <c r="D51" t="s">
        <v>382</v>
      </c>
      <c r="E51">
        <v>0</v>
      </c>
      <c r="F51" s="287"/>
      <c r="G51" s="287"/>
      <c r="H51" s="287"/>
      <c r="I51" t="s">
        <v>382</v>
      </c>
      <c r="J51" t="s">
        <v>42</v>
      </c>
    </row>
    <row r="52" spans="1:10" x14ac:dyDescent="0.25">
      <c r="A52" t="s">
        <v>390</v>
      </c>
      <c r="C52" s="286">
        <v>41683.908055555556</v>
      </c>
      <c r="D52" t="s">
        <v>382</v>
      </c>
      <c r="E52">
        <v>0</v>
      </c>
      <c r="F52" s="287"/>
      <c r="G52" s="287"/>
      <c r="H52" s="287"/>
      <c r="I52" t="s">
        <v>382</v>
      </c>
      <c r="J52" t="s">
        <v>42</v>
      </c>
    </row>
    <row r="53" spans="1:10" x14ac:dyDescent="0.25">
      <c r="A53" t="s">
        <v>390</v>
      </c>
      <c r="C53" s="286">
        <v>41687.176192129627</v>
      </c>
      <c r="D53" t="s">
        <v>382</v>
      </c>
      <c r="E53">
        <v>0</v>
      </c>
      <c r="F53" s="287"/>
      <c r="G53" s="287"/>
      <c r="H53" s="287"/>
      <c r="I53" t="s">
        <v>382</v>
      </c>
      <c r="J53" t="s">
        <v>42</v>
      </c>
    </row>
    <row r="54" spans="1:10" x14ac:dyDescent="0.25">
      <c r="A54" t="s">
        <v>390</v>
      </c>
      <c r="C54" s="286">
        <v>41690.463564814818</v>
      </c>
      <c r="D54" t="s">
        <v>382</v>
      </c>
      <c r="E54">
        <v>0</v>
      </c>
      <c r="F54" s="287"/>
      <c r="G54" s="287"/>
      <c r="H54" s="287"/>
      <c r="I54" t="s">
        <v>382</v>
      </c>
      <c r="J54" t="s">
        <v>42</v>
      </c>
    </row>
    <row r="55" spans="1:10" x14ac:dyDescent="0.25">
      <c r="A55" t="s">
        <v>394</v>
      </c>
      <c r="C55" s="286">
        <v>41691.854872685188</v>
      </c>
      <c r="D55" t="s">
        <v>382</v>
      </c>
      <c r="E55">
        <v>0</v>
      </c>
      <c r="F55" s="287"/>
      <c r="G55" s="287"/>
      <c r="H55" s="287"/>
      <c r="I55" t="s">
        <v>382</v>
      </c>
      <c r="J55" t="s">
        <v>42</v>
      </c>
    </row>
    <row r="56" spans="1:10" x14ac:dyDescent="0.25">
      <c r="A56" t="s">
        <v>390</v>
      </c>
      <c r="C56" s="286">
        <v>41694.013275462959</v>
      </c>
      <c r="D56" t="s">
        <v>382</v>
      </c>
      <c r="E56">
        <v>0</v>
      </c>
      <c r="F56" s="287"/>
      <c r="G56" s="287"/>
      <c r="H56" s="287"/>
      <c r="I56" t="s">
        <v>382</v>
      </c>
      <c r="J56" t="s">
        <v>42</v>
      </c>
    </row>
    <row r="57" spans="1:10" x14ac:dyDescent="0.25">
      <c r="A57" t="s">
        <v>390</v>
      </c>
      <c r="C57" s="286">
        <v>41698.177847222221</v>
      </c>
      <c r="D57" t="s">
        <v>382</v>
      </c>
      <c r="E57">
        <v>0</v>
      </c>
      <c r="F57" s="287"/>
      <c r="G57" s="287"/>
      <c r="H57" s="287"/>
      <c r="I57" t="s">
        <v>382</v>
      </c>
      <c r="J57" t="s">
        <v>42</v>
      </c>
    </row>
    <row r="58" spans="1:10" x14ac:dyDescent="0.25">
      <c r="A58" t="s">
        <v>390</v>
      </c>
      <c r="C58" s="286">
        <v>41700.047627314816</v>
      </c>
      <c r="D58" t="s">
        <v>382</v>
      </c>
      <c r="E58">
        <v>0</v>
      </c>
      <c r="F58" s="287"/>
      <c r="G58" s="287"/>
      <c r="H58" s="287"/>
      <c r="I58" t="s">
        <v>382</v>
      </c>
      <c r="J58" t="s">
        <v>42</v>
      </c>
    </row>
    <row r="59" spans="1:10" x14ac:dyDescent="0.25">
      <c r="A59" t="s">
        <v>390</v>
      </c>
      <c r="C59" s="286">
        <v>41701.203703703701</v>
      </c>
      <c r="D59" t="s">
        <v>382</v>
      </c>
      <c r="E59">
        <v>0</v>
      </c>
      <c r="F59" s="287"/>
      <c r="G59" s="287"/>
      <c r="H59" s="287"/>
      <c r="I59" t="s">
        <v>382</v>
      </c>
      <c r="J59" t="s">
        <v>42</v>
      </c>
    </row>
    <row r="60" spans="1:10" x14ac:dyDescent="0.25">
      <c r="A60" t="s">
        <v>390</v>
      </c>
      <c r="C60" s="286">
        <v>41702.197199074071</v>
      </c>
      <c r="D60" t="s">
        <v>382</v>
      </c>
      <c r="E60">
        <v>0</v>
      </c>
      <c r="F60" s="287"/>
      <c r="G60" s="287"/>
      <c r="H60" s="287"/>
      <c r="I60" t="s">
        <v>382</v>
      </c>
      <c r="J60" t="s">
        <v>42</v>
      </c>
    </row>
    <row r="61" spans="1:10" x14ac:dyDescent="0.25">
      <c r="A61" t="s">
        <v>390</v>
      </c>
      <c r="C61" s="286">
        <v>41704.10628472222</v>
      </c>
      <c r="D61" t="s">
        <v>382</v>
      </c>
      <c r="E61">
        <v>0</v>
      </c>
      <c r="F61" s="287"/>
      <c r="G61" s="287"/>
      <c r="H61" s="287"/>
      <c r="I61" t="s">
        <v>382</v>
      </c>
      <c r="J61" t="s">
        <v>42</v>
      </c>
    </row>
    <row r="62" spans="1:10" x14ac:dyDescent="0.25">
      <c r="A62" t="s">
        <v>390</v>
      </c>
      <c r="C62" s="286">
        <v>41708.538634259261</v>
      </c>
      <c r="D62" t="s">
        <v>382</v>
      </c>
      <c r="E62">
        <v>0</v>
      </c>
      <c r="F62" s="287"/>
      <c r="G62" s="287"/>
      <c r="H62" s="287"/>
      <c r="I62" t="s">
        <v>382</v>
      </c>
      <c r="J62" t="s">
        <v>42</v>
      </c>
    </row>
    <row r="63" spans="1:10" x14ac:dyDescent="0.25">
      <c r="A63" t="s">
        <v>390</v>
      </c>
      <c r="C63" s="286">
        <v>41711.184305555558</v>
      </c>
      <c r="D63" t="s">
        <v>382</v>
      </c>
      <c r="E63">
        <v>0</v>
      </c>
      <c r="F63" s="287"/>
      <c r="G63" s="287"/>
      <c r="H63" s="287"/>
      <c r="I63" t="s">
        <v>382</v>
      </c>
      <c r="J63" t="s">
        <v>42</v>
      </c>
    </row>
    <row r="64" spans="1:10" x14ac:dyDescent="0.25">
      <c r="A64" t="s">
        <v>390</v>
      </c>
      <c r="C64" s="286">
        <v>41715.183668981481</v>
      </c>
      <c r="D64" t="s">
        <v>382</v>
      </c>
      <c r="E64">
        <v>0</v>
      </c>
      <c r="F64" s="287"/>
      <c r="G64" s="287"/>
      <c r="H64" s="287"/>
      <c r="I64" t="s">
        <v>382</v>
      </c>
      <c r="J64" t="s">
        <v>42</v>
      </c>
    </row>
    <row r="65" spans="1:10" x14ac:dyDescent="0.25">
      <c r="A65" t="s">
        <v>390</v>
      </c>
      <c r="C65" s="286">
        <v>41718.294502314813</v>
      </c>
      <c r="D65" t="s">
        <v>382</v>
      </c>
      <c r="E65">
        <v>0</v>
      </c>
      <c r="F65" s="287"/>
      <c r="G65" s="287"/>
      <c r="H65" s="287"/>
      <c r="I65" t="s">
        <v>382</v>
      </c>
      <c r="J65" t="s">
        <v>42</v>
      </c>
    </row>
    <row r="66" spans="1:10" x14ac:dyDescent="0.25">
      <c r="A66" t="s">
        <v>394</v>
      </c>
      <c r="C66" s="286">
        <v>41719.507673611108</v>
      </c>
      <c r="D66" t="s">
        <v>382</v>
      </c>
      <c r="E66">
        <v>0</v>
      </c>
      <c r="F66" s="287"/>
      <c r="G66" s="287"/>
      <c r="H66" s="287"/>
      <c r="I66" t="s">
        <v>382</v>
      </c>
      <c r="J66" t="s">
        <v>42</v>
      </c>
    </row>
    <row r="67" spans="1:10" x14ac:dyDescent="0.25">
      <c r="A67" t="s">
        <v>390</v>
      </c>
      <c r="C67" s="286">
        <v>41721.907106481478</v>
      </c>
      <c r="D67" t="s">
        <v>382</v>
      </c>
      <c r="E67">
        <v>0</v>
      </c>
      <c r="F67" s="287"/>
      <c r="G67" s="287"/>
      <c r="H67" s="287"/>
      <c r="I67" t="s">
        <v>382</v>
      </c>
      <c r="J67" t="s">
        <v>42</v>
      </c>
    </row>
    <row r="68" spans="1:10" x14ac:dyDescent="0.25">
      <c r="A68" t="s">
        <v>390</v>
      </c>
      <c r="C68" s="286">
        <v>41724.923587962963</v>
      </c>
      <c r="D68" t="s">
        <v>382</v>
      </c>
      <c r="E68">
        <v>0</v>
      </c>
      <c r="F68" s="287"/>
      <c r="G68" s="287"/>
      <c r="H68" s="287"/>
      <c r="I68" t="s">
        <v>382</v>
      </c>
      <c r="J68" t="s">
        <v>42</v>
      </c>
    </row>
    <row r="69" spans="1:10" x14ac:dyDescent="0.25">
      <c r="A69" t="s">
        <v>390</v>
      </c>
      <c r="C69" s="286">
        <v>41729.631053240744</v>
      </c>
      <c r="D69" t="s">
        <v>382</v>
      </c>
      <c r="E69">
        <v>0</v>
      </c>
      <c r="F69" s="287"/>
      <c r="G69" s="287"/>
      <c r="H69" s="287"/>
      <c r="I69" t="s">
        <v>382</v>
      </c>
      <c r="J69" t="s">
        <v>42</v>
      </c>
    </row>
    <row r="70" spans="1:10" x14ac:dyDescent="0.25">
      <c r="A70" t="s">
        <v>390</v>
      </c>
      <c r="C70" s="286">
        <v>41736.167442129627</v>
      </c>
      <c r="D70" t="s">
        <v>382</v>
      </c>
      <c r="E70">
        <v>0</v>
      </c>
      <c r="F70" s="287"/>
      <c r="G70" s="287"/>
      <c r="H70" s="287"/>
      <c r="I70" t="s">
        <v>382</v>
      </c>
      <c r="J70" t="s">
        <v>42</v>
      </c>
    </row>
    <row r="71" spans="1:10" x14ac:dyDescent="0.25">
      <c r="A71" t="s">
        <v>390</v>
      </c>
      <c r="C71" s="286">
        <v>41738.961875000001</v>
      </c>
      <c r="D71" t="s">
        <v>382</v>
      </c>
      <c r="E71">
        <v>0</v>
      </c>
      <c r="F71" s="287"/>
      <c r="G71" s="287"/>
      <c r="H71" s="287"/>
      <c r="I71" t="s">
        <v>382</v>
      </c>
      <c r="J71" t="s">
        <v>42</v>
      </c>
    </row>
    <row r="72" spans="1:10" x14ac:dyDescent="0.25">
      <c r="A72" t="s">
        <v>394</v>
      </c>
      <c r="C72" s="286">
        <v>41739.759097222224</v>
      </c>
      <c r="D72" t="s">
        <v>382</v>
      </c>
      <c r="E72">
        <v>0</v>
      </c>
      <c r="F72" s="287"/>
      <c r="G72" s="287"/>
      <c r="H72" s="287"/>
      <c r="I72" t="s">
        <v>382</v>
      </c>
      <c r="J72" t="s">
        <v>42</v>
      </c>
    </row>
    <row r="73" spans="1:10" x14ac:dyDescent="0.25">
      <c r="A73" t="s">
        <v>390</v>
      </c>
      <c r="C73" s="286">
        <v>41743.185277777775</v>
      </c>
      <c r="D73" t="s">
        <v>382</v>
      </c>
      <c r="E73">
        <v>0</v>
      </c>
      <c r="F73" s="287"/>
      <c r="G73" s="287"/>
      <c r="H73" s="287"/>
      <c r="I73" t="s">
        <v>382</v>
      </c>
      <c r="J73" t="s">
        <v>42</v>
      </c>
    </row>
    <row r="74" spans="1:10" x14ac:dyDescent="0.25">
      <c r="A74" t="s">
        <v>390</v>
      </c>
      <c r="C74" s="286">
        <v>41745.920682870368</v>
      </c>
      <c r="D74" t="s">
        <v>382</v>
      </c>
      <c r="E74">
        <v>0</v>
      </c>
      <c r="F74" s="287"/>
      <c r="G74" s="287"/>
      <c r="H74" s="287"/>
      <c r="I74" t="s">
        <v>382</v>
      </c>
      <c r="J74" t="s">
        <v>42</v>
      </c>
    </row>
    <row r="75" spans="1:10" x14ac:dyDescent="0.25">
      <c r="A75" t="s">
        <v>390</v>
      </c>
      <c r="C75" s="286">
        <v>41753.454039351855</v>
      </c>
      <c r="D75" t="s">
        <v>382</v>
      </c>
      <c r="E75">
        <v>0</v>
      </c>
      <c r="F75" s="287"/>
      <c r="G75" s="287"/>
      <c r="H75" s="287"/>
      <c r="I75" t="s">
        <v>382</v>
      </c>
      <c r="J75" t="s">
        <v>42</v>
      </c>
    </row>
    <row r="76" spans="1:10" x14ac:dyDescent="0.25">
      <c r="A76" t="s">
        <v>394</v>
      </c>
      <c r="C76" s="286">
        <v>41755.190694444442</v>
      </c>
      <c r="D76" t="s">
        <v>382</v>
      </c>
      <c r="E76">
        <v>0</v>
      </c>
      <c r="F76" s="287"/>
      <c r="G76" s="287"/>
      <c r="H76" s="287"/>
      <c r="I76" t="s">
        <v>382</v>
      </c>
      <c r="J76" t="s">
        <v>42</v>
      </c>
    </row>
    <row r="77" spans="1:10" x14ac:dyDescent="0.25">
      <c r="A77" t="s">
        <v>390</v>
      </c>
      <c r="C77" s="286">
        <v>41756.92428240741</v>
      </c>
      <c r="D77" t="s">
        <v>382</v>
      </c>
      <c r="E77">
        <v>0</v>
      </c>
      <c r="F77" s="287"/>
      <c r="G77" s="287"/>
      <c r="H77" s="287"/>
      <c r="I77" t="s">
        <v>382</v>
      </c>
      <c r="J77" t="s">
        <v>42</v>
      </c>
    </row>
    <row r="78" spans="1:10" x14ac:dyDescent="0.25">
      <c r="A78" t="s">
        <v>390</v>
      </c>
      <c r="C78" s="286">
        <v>41760.016157407408</v>
      </c>
      <c r="D78" t="s">
        <v>382</v>
      </c>
      <c r="E78">
        <v>0</v>
      </c>
      <c r="F78" s="287"/>
      <c r="G78" s="287"/>
      <c r="H78" s="287"/>
      <c r="I78" t="s">
        <v>382</v>
      </c>
      <c r="J78" t="s">
        <v>42</v>
      </c>
    </row>
    <row r="79" spans="1:10" x14ac:dyDescent="0.25">
      <c r="A79" t="s">
        <v>390</v>
      </c>
      <c r="C79" s="286">
        <v>41764.027673611112</v>
      </c>
      <c r="D79" t="s">
        <v>382</v>
      </c>
      <c r="E79">
        <v>0</v>
      </c>
      <c r="F79" s="287"/>
      <c r="G79" s="287"/>
      <c r="H79" s="287"/>
      <c r="I79" t="s">
        <v>382</v>
      </c>
      <c r="J79" t="s">
        <v>42</v>
      </c>
    </row>
    <row r="80" spans="1:10" x14ac:dyDescent="0.25">
      <c r="A80" t="s">
        <v>390</v>
      </c>
      <c r="C80" s="286">
        <v>41766.886319444442</v>
      </c>
      <c r="D80" t="s">
        <v>382</v>
      </c>
      <c r="E80">
        <v>0</v>
      </c>
      <c r="F80" s="287"/>
      <c r="G80" s="287"/>
      <c r="H80" s="287"/>
      <c r="I80" t="s">
        <v>382</v>
      </c>
      <c r="J80" t="s">
        <v>42</v>
      </c>
    </row>
    <row r="81" spans="1:10" x14ac:dyDescent="0.25">
      <c r="A81" t="s">
        <v>390</v>
      </c>
      <c r="C81" s="286">
        <v>41771.002013888887</v>
      </c>
      <c r="D81" t="s">
        <v>382</v>
      </c>
      <c r="E81">
        <v>0</v>
      </c>
      <c r="F81" s="287"/>
      <c r="G81" s="287"/>
      <c r="H81" s="287"/>
      <c r="I81" t="s">
        <v>382</v>
      </c>
      <c r="J81" t="s">
        <v>42</v>
      </c>
    </row>
    <row r="82" spans="1:10" x14ac:dyDescent="0.25">
      <c r="A82" t="s">
        <v>390</v>
      </c>
      <c r="C82" s="286">
        <v>41773.947233796294</v>
      </c>
      <c r="D82" t="s">
        <v>382</v>
      </c>
      <c r="E82">
        <v>0</v>
      </c>
      <c r="F82" s="287"/>
      <c r="G82" s="287"/>
      <c r="H82" s="287"/>
      <c r="I82" t="s">
        <v>382</v>
      </c>
      <c r="J82" t="s">
        <v>42</v>
      </c>
    </row>
    <row r="83" spans="1:10" x14ac:dyDescent="0.25">
      <c r="A83" t="s">
        <v>390</v>
      </c>
      <c r="C83" s="286">
        <v>41777.869467592594</v>
      </c>
      <c r="D83" t="s">
        <v>382</v>
      </c>
      <c r="E83">
        <v>0</v>
      </c>
      <c r="F83" s="287"/>
      <c r="G83" s="287"/>
      <c r="H83" s="287"/>
      <c r="I83" t="s">
        <v>382</v>
      </c>
      <c r="J83" t="s">
        <v>42</v>
      </c>
    </row>
    <row r="84" spans="1:10" x14ac:dyDescent="0.25">
      <c r="A84" t="s">
        <v>390</v>
      </c>
      <c r="C84" s="286">
        <v>41781.063738425924</v>
      </c>
      <c r="D84" t="s">
        <v>382</v>
      </c>
      <c r="E84">
        <v>0</v>
      </c>
      <c r="F84" s="287"/>
      <c r="G84" s="287"/>
      <c r="H84" s="287"/>
      <c r="I84" t="s">
        <v>382</v>
      </c>
      <c r="J84" t="s">
        <v>42</v>
      </c>
    </row>
    <row r="85" spans="1:10" x14ac:dyDescent="0.25">
      <c r="A85" t="s">
        <v>390</v>
      </c>
      <c r="C85" s="286">
        <v>41784.957175925927</v>
      </c>
      <c r="D85" t="s">
        <v>382</v>
      </c>
      <c r="E85">
        <v>0</v>
      </c>
      <c r="F85" s="287"/>
      <c r="G85" s="287"/>
      <c r="H85" s="287"/>
      <c r="I85" t="s">
        <v>382</v>
      </c>
      <c r="J85" t="s">
        <v>42</v>
      </c>
    </row>
    <row r="86" spans="1:10" x14ac:dyDescent="0.25">
      <c r="A86" t="s">
        <v>390</v>
      </c>
      <c r="C86" s="286">
        <v>41787.937754629631</v>
      </c>
      <c r="D86" t="s">
        <v>382</v>
      </c>
      <c r="E86">
        <v>0</v>
      </c>
      <c r="F86" s="287"/>
      <c r="G86" s="287"/>
      <c r="H86" s="287"/>
      <c r="I86" t="s">
        <v>382</v>
      </c>
      <c r="J86" t="s">
        <v>42</v>
      </c>
    </row>
    <row r="87" spans="1:10" x14ac:dyDescent="0.25">
      <c r="A87" t="s">
        <v>390</v>
      </c>
      <c r="C87" s="286">
        <v>41792.248692129629</v>
      </c>
      <c r="D87" t="s">
        <v>382</v>
      </c>
      <c r="E87">
        <v>0</v>
      </c>
      <c r="F87" s="287"/>
      <c r="G87" s="287"/>
      <c r="H87" s="287"/>
      <c r="I87" t="s">
        <v>382</v>
      </c>
      <c r="J87" t="s">
        <v>42</v>
      </c>
    </row>
    <row r="88" spans="1:10" x14ac:dyDescent="0.25">
      <c r="A88" t="s">
        <v>390</v>
      </c>
      <c r="C88" s="286">
        <v>41795.233437499999</v>
      </c>
      <c r="D88" t="s">
        <v>382</v>
      </c>
      <c r="E88">
        <v>0</v>
      </c>
      <c r="F88" s="287"/>
      <c r="G88" s="287"/>
      <c r="H88" s="287"/>
      <c r="I88" t="s">
        <v>382</v>
      </c>
      <c r="J88" t="s">
        <v>42</v>
      </c>
    </row>
    <row r="89" spans="1:10" x14ac:dyDescent="0.25">
      <c r="A89" t="s">
        <v>390</v>
      </c>
      <c r="C89" s="286">
        <v>41798.885821759257</v>
      </c>
      <c r="D89" t="s">
        <v>382</v>
      </c>
      <c r="E89">
        <v>0</v>
      </c>
      <c r="F89" s="287"/>
      <c r="G89" s="287"/>
      <c r="H89" s="287"/>
      <c r="I89" t="s">
        <v>382</v>
      </c>
      <c r="J89" t="s">
        <v>42</v>
      </c>
    </row>
    <row r="90" spans="1:10" x14ac:dyDescent="0.25">
      <c r="A90" t="s">
        <v>390</v>
      </c>
      <c r="C90" s="286">
        <v>41801.863344907404</v>
      </c>
      <c r="D90" t="s">
        <v>382</v>
      </c>
      <c r="E90">
        <v>0</v>
      </c>
      <c r="F90" s="287"/>
      <c r="G90" s="287"/>
      <c r="H90" s="287"/>
      <c r="I90" t="s">
        <v>382</v>
      </c>
      <c r="J90" t="s">
        <v>42</v>
      </c>
    </row>
    <row r="91" spans="1:10" x14ac:dyDescent="0.25">
      <c r="A91" t="s">
        <v>390</v>
      </c>
      <c r="C91" s="286">
        <v>41806.056307870371</v>
      </c>
      <c r="D91" t="s">
        <v>382</v>
      </c>
      <c r="E91">
        <v>0</v>
      </c>
      <c r="F91" s="287"/>
      <c r="G91" s="287"/>
      <c r="H91" s="287"/>
      <c r="I91" t="s">
        <v>382</v>
      </c>
      <c r="J91" t="s">
        <v>42</v>
      </c>
    </row>
    <row r="92" spans="1:10" x14ac:dyDescent="0.25">
      <c r="A92" t="s">
        <v>390</v>
      </c>
      <c r="C92" s="286">
        <v>41808.911863425928</v>
      </c>
      <c r="D92" t="s">
        <v>382</v>
      </c>
      <c r="E92">
        <v>0</v>
      </c>
      <c r="F92" s="287"/>
      <c r="G92" s="287"/>
      <c r="H92" s="287"/>
      <c r="I92" t="s">
        <v>382</v>
      </c>
      <c r="J92" t="s">
        <v>42</v>
      </c>
    </row>
    <row r="93" spans="1:10" x14ac:dyDescent="0.25">
      <c r="A93" t="s">
        <v>390</v>
      </c>
      <c r="C93" s="286">
        <v>41813.051863425928</v>
      </c>
      <c r="D93" t="s">
        <v>382</v>
      </c>
      <c r="E93">
        <v>0</v>
      </c>
      <c r="F93" s="287"/>
      <c r="G93" s="287"/>
      <c r="H93" s="287"/>
      <c r="I93" t="s">
        <v>382</v>
      </c>
      <c r="J93" t="s">
        <v>42</v>
      </c>
    </row>
    <row r="94" spans="1:10" x14ac:dyDescent="0.25">
      <c r="A94" t="s">
        <v>390</v>
      </c>
      <c r="C94" s="286">
        <v>41815.876701388886</v>
      </c>
      <c r="D94" t="s">
        <v>382</v>
      </c>
      <c r="E94">
        <v>0</v>
      </c>
      <c r="F94" s="287"/>
      <c r="G94" s="287"/>
      <c r="H94" s="287"/>
      <c r="I94" t="s">
        <v>382</v>
      </c>
      <c r="J94" t="s">
        <v>42</v>
      </c>
    </row>
    <row r="95" spans="1:10" x14ac:dyDescent="0.25">
      <c r="A95" t="s">
        <v>395</v>
      </c>
      <c r="C95" s="286">
        <v>41829.886597222219</v>
      </c>
      <c r="D95" t="s">
        <v>382</v>
      </c>
      <c r="E95">
        <v>0</v>
      </c>
      <c r="F95" s="287"/>
      <c r="G95" s="287"/>
      <c r="H95" s="287"/>
      <c r="I95" t="s">
        <v>382</v>
      </c>
      <c r="J95" t="s">
        <v>42</v>
      </c>
    </row>
    <row r="96" spans="1:10" x14ac:dyDescent="0.25">
      <c r="A96" t="s">
        <v>396</v>
      </c>
      <c r="C96" s="286">
        <v>41829.908645833333</v>
      </c>
      <c r="D96" t="s">
        <v>382</v>
      </c>
      <c r="E96">
        <v>0</v>
      </c>
      <c r="F96" s="287"/>
      <c r="G96" s="287"/>
      <c r="H96" s="287"/>
      <c r="I96" t="s">
        <v>382</v>
      </c>
      <c r="J96" t="s">
        <v>42</v>
      </c>
    </row>
    <row r="97" spans="1:10" x14ac:dyDescent="0.25">
      <c r="A97" t="s">
        <v>397</v>
      </c>
      <c r="C97" s="286">
        <v>41833.710625</v>
      </c>
      <c r="D97" t="s">
        <v>382</v>
      </c>
      <c r="E97">
        <v>0</v>
      </c>
      <c r="F97" s="287"/>
      <c r="G97" s="287"/>
      <c r="H97" s="287"/>
      <c r="I97" t="s">
        <v>382</v>
      </c>
      <c r="J97" t="s">
        <v>42</v>
      </c>
    </row>
    <row r="98" spans="1:10" x14ac:dyDescent="0.25">
      <c r="A98" t="s">
        <v>397</v>
      </c>
      <c r="C98" s="286">
        <v>41834.078599537039</v>
      </c>
      <c r="D98" t="s">
        <v>382</v>
      </c>
      <c r="E98">
        <v>0</v>
      </c>
      <c r="F98" s="287"/>
      <c r="G98" s="287"/>
      <c r="H98" s="287"/>
      <c r="I98" t="s">
        <v>382</v>
      </c>
      <c r="J98" t="s">
        <v>42</v>
      </c>
    </row>
    <row r="99" spans="1:10" x14ac:dyDescent="0.25">
      <c r="A99" t="s">
        <v>390</v>
      </c>
      <c r="C99" s="286">
        <v>41834.098321759258</v>
      </c>
      <c r="D99" t="s">
        <v>382</v>
      </c>
      <c r="E99">
        <v>0</v>
      </c>
      <c r="F99" s="287"/>
      <c r="G99" s="287"/>
      <c r="H99" s="287"/>
      <c r="I99" t="s">
        <v>382</v>
      </c>
      <c r="J99" t="s">
        <v>42</v>
      </c>
    </row>
    <row r="100" spans="1:10" x14ac:dyDescent="0.25">
      <c r="A100" t="s">
        <v>397</v>
      </c>
      <c r="C100" s="286">
        <v>41836.026678240742</v>
      </c>
      <c r="D100" t="s">
        <v>382</v>
      </c>
      <c r="E100">
        <v>0</v>
      </c>
      <c r="F100" s="287"/>
      <c r="G100" s="287"/>
      <c r="H100" s="287"/>
      <c r="I100" t="s">
        <v>382</v>
      </c>
      <c r="J100" t="s">
        <v>42</v>
      </c>
    </row>
    <row r="101" spans="1:10" x14ac:dyDescent="0.25">
      <c r="A101" t="s">
        <v>390</v>
      </c>
      <c r="C101" s="286">
        <v>41837.469618055555</v>
      </c>
      <c r="D101" t="s">
        <v>382</v>
      </c>
      <c r="E101">
        <v>0</v>
      </c>
      <c r="F101" s="287"/>
      <c r="G101" s="287"/>
      <c r="H101" s="287"/>
      <c r="I101" t="s">
        <v>382</v>
      </c>
      <c r="J101" t="s">
        <v>42</v>
      </c>
    </row>
    <row r="102" spans="1:10" x14ac:dyDescent="0.25">
      <c r="A102" t="s">
        <v>396</v>
      </c>
      <c r="C102" s="286">
        <v>41838.31417824074</v>
      </c>
      <c r="D102" t="s">
        <v>382</v>
      </c>
      <c r="E102">
        <v>0</v>
      </c>
      <c r="F102" s="287"/>
      <c r="G102" s="287"/>
      <c r="H102" s="287"/>
      <c r="I102" t="s">
        <v>382</v>
      </c>
      <c r="J102" t="s">
        <v>42</v>
      </c>
    </row>
    <row r="103" spans="1:10" x14ac:dyDescent="0.25">
      <c r="A103" t="s">
        <v>397</v>
      </c>
      <c r="C103" s="286">
        <v>41840.811863425923</v>
      </c>
      <c r="D103" t="s">
        <v>382</v>
      </c>
      <c r="E103">
        <v>0</v>
      </c>
      <c r="F103" s="287"/>
      <c r="G103" s="287"/>
      <c r="H103" s="287"/>
      <c r="I103" t="s">
        <v>382</v>
      </c>
      <c r="J103" t="s">
        <v>42</v>
      </c>
    </row>
    <row r="104" spans="1:10" x14ac:dyDescent="0.25">
      <c r="A104" t="s">
        <v>390</v>
      </c>
      <c r="C104" s="286">
        <v>41841.117395833331</v>
      </c>
      <c r="D104" t="s">
        <v>382</v>
      </c>
      <c r="E104">
        <v>0</v>
      </c>
      <c r="F104" s="287"/>
      <c r="G104" s="287"/>
      <c r="H104" s="287"/>
      <c r="I104" t="s">
        <v>382</v>
      </c>
      <c r="J104" t="s">
        <v>42</v>
      </c>
    </row>
    <row r="105" spans="1:10" x14ac:dyDescent="0.25">
      <c r="A105" t="s">
        <v>390</v>
      </c>
      <c r="C105" s="286">
        <v>41844.428969907407</v>
      </c>
      <c r="D105" t="s">
        <v>382</v>
      </c>
      <c r="E105">
        <v>0</v>
      </c>
      <c r="F105" s="287"/>
      <c r="G105" s="287"/>
      <c r="H105" s="287"/>
      <c r="I105" t="s">
        <v>382</v>
      </c>
      <c r="J105" t="s">
        <v>42</v>
      </c>
    </row>
    <row r="106" spans="1:10" x14ac:dyDescent="0.25">
      <c r="A106" t="s">
        <v>397</v>
      </c>
      <c r="C106" s="286">
        <v>41845.828935185185</v>
      </c>
      <c r="D106" t="s">
        <v>382</v>
      </c>
      <c r="E106">
        <v>0</v>
      </c>
      <c r="F106" s="287"/>
      <c r="G106" s="287"/>
      <c r="H106" s="287"/>
      <c r="I106" t="s">
        <v>382</v>
      </c>
      <c r="J106" t="s">
        <v>42</v>
      </c>
    </row>
    <row r="107" spans="1:10" x14ac:dyDescent="0.25">
      <c r="A107" t="s">
        <v>390</v>
      </c>
      <c r="C107" s="286">
        <v>41847.976550925923</v>
      </c>
      <c r="D107" t="s">
        <v>382</v>
      </c>
      <c r="E107">
        <v>0</v>
      </c>
      <c r="F107" s="287"/>
      <c r="G107" s="287"/>
      <c r="H107" s="287"/>
      <c r="I107" t="s">
        <v>382</v>
      </c>
      <c r="J107" t="s">
        <v>42</v>
      </c>
    </row>
    <row r="108" spans="1:10" x14ac:dyDescent="0.25">
      <c r="A108" t="s">
        <v>396</v>
      </c>
      <c r="C108" s="286">
        <v>41850.605347222219</v>
      </c>
      <c r="D108" t="s">
        <v>382</v>
      </c>
      <c r="E108">
        <v>0</v>
      </c>
      <c r="F108" s="287"/>
      <c r="G108" s="287"/>
      <c r="H108" s="287"/>
      <c r="I108" t="s">
        <v>382</v>
      </c>
      <c r="J108" t="s">
        <v>42</v>
      </c>
    </row>
    <row r="109" spans="1:10" x14ac:dyDescent="0.25">
      <c r="A109" t="s">
        <v>390</v>
      </c>
      <c r="C109" s="286">
        <v>41851.626377314817</v>
      </c>
      <c r="D109" t="s">
        <v>382</v>
      </c>
      <c r="E109">
        <v>0</v>
      </c>
      <c r="F109" s="287"/>
      <c r="G109" s="287"/>
      <c r="H109" s="287"/>
      <c r="I109" t="s">
        <v>382</v>
      </c>
      <c r="J109" t="s">
        <v>42</v>
      </c>
    </row>
    <row r="110" spans="1:10" x14ac:dyDescent="0.25">
      <c r="A110" t="s">
        <v>397</v>
      </c>
      <c r="C110" s="286">
        <v>41852.802800925929</v>
      </c>
      <c r="D110" t="s">
        <v>382</v>
      </c>
      <c r="E110">
        <v>0</v>
      </c>
      <c r="F110" s="287"/>
      <c r="G110" s="287"/>
      <c r="H110" s="287"/>
      <c r="I110" t="s">
        <v>382</v>
      </c>
      <c r="J110" t="s">
        <v>42</v>
      </c>
    </row>
    <row r="111" spans="1:10" x14ac:dyDescent="0.25">
      <c r="A111" t="s">
        <v>390</v>
      </c>
      <c r="C111" s="286">
        <v>41854.835439814815</v>
      </c>
      <c r="D111" t="s">
        <v>382</v>
      </c>
      <c r="E111">
        <v>0</v>
      </c>
      <c r="F111" s="287"/>
      <c r="G111" s="287"/>
      <c r="H111" s="287"/>
      <c r="I111" t="s">
        <v>382</v>
      </c>
      <c r="J111" t="s">
        <v>42</v>
      </c>
    </row>
    <row r="112" spans="1:10" x14ac:dyDescent="0.25">
      <c r="A112" t="s">
        <v>397</v>
      </c>
      <c r="C112" s="286">
        <v>41856.886261574073</v>
      </c>
      <c r="D112" t="s">
        <v>382</v>
      </c>
      <c r="E112">
        <v>0</v>
      </c>
      <c r="F112" s="287"/>
      <c r="G112" s="287"/>
      <c r="H112" s="287"/>
      <c r="I112" t="s">
        <v>382</v>
      </c>
      <c r="J112" t="s">
        <v>42</v>
      </c>
    </row>
    <row r="113" spans="1:10" x14ac:dyDescent="0.25">
      <c r="A113" t="s">
        <v>398</v>
      </c>
      <c r="C113" s="286">
        <v>41857.952268518522</v>
      </c>
      <c r="D113" t="s">
        <v>382</v>
      </c>
      <c r="E113">
        <v>0</v>
      </c>
      <c r="F113" s="287"/>
      <c r="G113" s="287"/>
      <c r="H113" s="287"/>
      <c r="I113" t="s">
        <v>382</v>
      </c>
      <c r="J113" t="s">
        <v>42</v>
      </c>
    </row>
    <row r="114" spans="1:10" x14ac:dyDescent="0.25">
      <c r="A114" t="s">
        <v>390</v>
      </c>
      <c r="C114" s="286">
        <v>41858.232291666667</v>
      </c>
      <c r="D114" t="s">
        <v>382</v>
      </c>
      <c r="E114">
        <v>0</v>
      </c>
      <c r="F114" s="287"/>
      <c r="G114" s="287"/>
      <c r="H114" s="287"/>
      <c r="I114" t="s">
        <v>382</v>
      </c>
      <c r="J114" t="s">
        <v>42</v>
      </c>
    </row>
    <row r="115" spans="1:10" x14ac:dyDescent="0.25">
      <c r="A115" t="s">
        <v>396</v>
      </c>
      <c r="C115" s="286">
        <v>41859.528310185182</v>
      </c>
      <c r="D115" t="s">
        <v>382</v>
      </c>
      <c r="E115">
        <v>0</v>
      </c>
      <c r="F115" s="287"/>
      <c r="G115" s="287"/>
      <c r="H115" s="287"/>
      <c r="I115" t="s">
        <v>382</v>
      </c>
      <c r="J115" t="s">
        <v>42</v>
      </c>
    </row>
    <row r="116" spans="1:10" x14ac:dyDescent="0.25">
      <c r="A116" t="s">
        <v>397</v>
      </c>
      <c r="C116" s="286">
        <v>41861.831377314818</v>
      </c>
      <c r="D116" t="s">
        <v>382</v>
      </c>
      <c r="E116">
        <v>0</v>
      </c>
      <c r="F116" s="287"/>
      <c r="G116" s="287"/>
      <c r="H116" s="287"/>
      <c r="I116" t="s">
        <v>382</v>
      </c>
      <c r="J116" t="s">
        <v>42</v>
      </c>
    </row>
    <row r="117" spans="1:10" x14ac:dyDescent="0.25">
      <c r="A117" t="s">
        <v>390</v>
      </c>
      <c r="C117" s="286">
        <v>41864.901423611111</v>
      </c>
      <c r="D117" t="s">
        <v>382</v>
      </c>
      <c r="E117">
        <v>0</v>
      </c>
      <c r="F117" s="287"/>
      <c r="G117" s="287"/>
      <c r="H117" s="287"/>
      <c r="I117" t="s">
        <v>382</v>
      </c>
      <c r="J117" t="s">
        <v>42</v>
      </c>
    </row>
    <row r="118" spans="1:10" x14ac:dyDescent="0.25">
      <c r="A118" t="s">
        <v>397</v>
      </c>
      <c r="C118" s="286">
        <v>41866.839062500003</v>
      </c>
      <c r="D118" t="s">
        <v>382</v>
      </c>
      <c r="E118">
        <v>0</v>
      </c>
      <c r="F118" s="287"/>
      <c r="G118" s="287"/>
      <c r="H118" s="287"/>
      <c r="I118" t="s">
        <v>382</v>
      </c>
      <c r="J118" t="s">
        <v>42</v>
      </c>
    </row>
    <row r="119" spans="1:10" x14ac:dyDescent="0.25">
      <c r="A119" t="s">
        <v>390</v>
      </c>
      <c r="C119" s="286">
        <v>41871.931793981479</v>
      </c>
      <c r="D119" t="s">
        <v>382</v>
      </c>
      <c r="E119">
        <v>0</v>
      </c>
      <c r="F119" s="287"/>
      <c r="G119" s="287"/>
      <c r="H119" s="287"/>
      <c r="I119" t="s">
        <v>382</v>
      </c>
      <c r="J119" t="s">
        <v>42</v>
      </c>
    </row>
    <row r="120" spans="1:10" x14ac:dyDescent="0.25">
      <c r="A120" t="s">
        <v>390</v>
      </c>
      <c r="C120" s="286">
        <v>41879.050266203703</v>
      </c>
      <c r="D120" t="s">
        <v>382</v>
      </c>
      <c r="E120">
        <v>0</v>
      </c>
      <c r="F120" s="287"/>
      <c r="G120" s="287"/>
      <c r="H120" s="287"/>
      <c r="I120" t="s">
        <v>382</v>
      </c>
      <c r="J120" t="s">
        <v>42</v>
      </c>
    </row>
    <row r="121" spans="1:10" x14ac:dyDescent="0.25">
      <c r="A121" t="s">
        <v>390</v>
      </c>
      <c r="C121" s="286">
        <v>41886.952453703707</v>
      </c>
      <c r="D121" t="s">
        <v>382</v>
      </c>
      <c r="E121">
        <v>0</v>
      </c>
      <c r="F121" s="287"/>
      <c r="G121" s="287"/>
      <c r="H121" s="287"/>
      <c r="I121" t="s">
        <v>382</v>
      </c>
      <c r="J121" t="s">
        <v>42</v>
      </c>
    </row>
    <row r="122" spans="1:10" x14ac:dyDescent="0.25">
      <c r="A122" t="s">
        <v>396</v>
      </c>
      <c r="C122" s="286">
        <v>41891.37599537037</v>
      </c>
      <c r="D122" t="s">
        <v>382</v>
      </c>
      <c r="E122">
        <v>0</v>
      </c>
      <c r="F122" s="287"/>
      <c r="G122" s="287"/>
      <c r="H122" s="287"/>
      <c r="I122" t="s">
        <v>382</v>
      </c>
      <c r="J122" t="s">
        <v>42</v>
      </c>
    </row>
    <row r="123" spans="1:10" x14ac:dyDescent="0.25">
      <c r="A123" t="s">
        <v>390</v>
      </c>
      <c r="C123" s="286">
        <v>41893.137928240743</v>
      </c>
      <c r="D123" t="s">
        <v>382</v>
      </c>
      <c r="E123">
        <v>0</v>
      </c>
      <c r="F123" s="287"/>
      <c r="G123" s="287"/>
      <c r="H123" s="287"/>
      <c r="I123" t="s">
        <v>382</v>
      </c>
      <c r="J123" t="s">
        <v>42</v>
      </c>
    </row>
    <row r="124" spans="1:10" x14ac:dyDescent="0.25">
      <c r="A124" t="s">
        <v>390</v>
      </c>
      <c r="C124" s="286">
        <v>41899.892743055556</v>
      </c>
      <c r="D124" t="s">
        <v>382</v>
      </c>
      <c r="E124">
        <v>0</v>
      </c>
      <c r="F124" s="287"/>
      <c r="G124" s="287"/>
      <c r="H124" s="287"/>
      <c r="I124" t="s">
        <v>382</v>
      </c>
      <c r="J124" t="s">
        <v>42</v>
      </c>
    </row>
    <row r="125" spans="1:10" x14ac:dyDescent="0.25">
      <c r="A125" t="s">
        <v>390</v>
      </c>
      <c r="C125" s="286">
        <v>41906.959756944445</v>
      </c>
      <c r="D125" t="s">
        <v>382</v>
      </c>
      <c r="E125">
        <v>0</v>
      </c>
      <c r="F125" s="287"/>
      <c r="G125" s="287"/>
      <c r="H125" s="287"/>
      <c r="I125" t="s">
        <v>382</v>
      </c>
      <c r="J125" t="s">
        <v>42</v>
      </c>
    </row>
    <row r="126" spans="1:10" x14ac:dyDescent="0.25">
      <c r="A126" t="s">
        <v>390</v>
      </c>
      <c r="C126" s="286">
        <v>41913.78837962963</v>
      </c>
      <c r="D126" t="s">
        <v>382</v>
      </c>
      <c r="E126">
        <v>0</v>
      </c>
      <c r="F126" s="287"/>
      <c r="G126" s="287"/>
      <c r="H126" s="287"/>
      <c r="I126" t="s">
        <v>382</v>
      </c>
      <c r="J126" t="s">
        <v>42</v>
      </c>
    </row>
    <row r="127" spans="1:10" x14ac:dyDescent="0.25">
      <c r="A127" t="s">
        <v>390</v>
      </c>
      <c r="C127" s="286">
        <v>41921.029131944444</v>
      </c>
      <c r="D127" t="s">
        <v>382</v>
      </c>
      <c r="E127">
        <v>0</v>
      </c>
      <c r="F127" s="287"/>
      <c r="G127" s="287"/>
      <c r="H127" s="287"/>
      <c r="I127" t="s">
        <v>382</v>
      </c>
      <c r="J127" t="s">
        <v>42</v>
      </c>
    </row>
    <row r="128" spans="1:10" x14ac:dyDescent="0.25">
      <c r="A128" t="s">
        <v>396</v>
      </c>
      <c r="C128" s="286">
        <v>41924.694976851853</v>
      </c>
      <c r="D128" t="s">
        <v>382</v>
      </c>
      <c r="E128">
        <v>0</v>
      </c>
      <c r="F128" s="287"/>
      <c r="G128" s="287"/>
      <c r="H128" s="287"/>
      <c r="I128" t="s">
        <v>382</v>
      </c>
      <c r="J128" t="s">
        <v>42</v>
      </c>
    </row>
    <row r="129" spans="1:10" x14ac:dyDescent="0.25">
      <c r="A129" t="s">
        <v>396</v>
      </c>
      <c r="C129" s="286">
        <v>41924.696469907409</v>
      </c>
      <c r="D129" t="s">
        <v>382</v>
      </c>
      <c r="E129">
        <v>0</v>
      </c>
      <c r="F129" s="287"/>
      <c r="G129" s="287"/>
      <c r="H129" s="287"/>
      <c r="I129" t="s">
        <v>382</v>
      </c>
      <c r="J129" t="s">
        <v>42</v>
      </c>
    </row>
    <row r="130" spans="1:10" x14ac:dyDescent="0.25">
      <c r="A130" t="s">
        <v>396</v>
      </c>
      <c r="C130" s="286">
        <v>41924.698298611111</v>
      </c>
      <c r="D130" t="s">
        <v>382</v>
      </c>
      <c r="E130">
        <v>0</v>
      </c>
      <c r="F130" s="287"/>
      <c r="G130" s="287"/>
      <c r="H130" s="287"/>
      <c r="I130" t="s">
        <v>382</v>
      </c>
      <c r="J130" t="s">
        <v>42</v>
      </c>
    </row>
    <row r="131" spans="1:10" x14ac:dyDescent="0.25">
      <c r="A131" t="s">
        <v>396</v>
      </c>
      <c r="C131" s="286">
        <v>41924.69971064815</v>
      </c>
      <c r="D131" t="s">
        <v>382</v>
      </c>
      <c r="E131">
        <v>0</v>
      </c>
      <c r="F131" s="287"/>
      <c r="G131" s="287"/>
      <c r="H131" s="287"/>
      <c r="I131" t="s">
        <v>382</v>
      </c>
      <c r="J131" t="s">
        <v>42</v>
      </c>
    </row>
    <row r="132" spans="1:10" x14ac:dyDescent="0.25">
      <c r="A132" t="s">
        <v>396</v>
      </c>
      <c r="C132" s="286">
        <v>41924.704918981479</v>
      </c>
      <c r="D132" t="s">
        <v>382</v>
      </c>
      <c r="E132">
        <v>0</v>
      </c>
      <c r="F132" s="287"/>
      <c r="G132" s="287"/>
      <c r="H132" s="287"/>
      <c r="I132" t="s">
        <v>382</v>
      </c>
      <c r="J132" t="s">
        <v>42</v>
      </c>
    </row>
    <row r="133" spans="1:10" x14ac:dyDescent="0.25">
      <c r="A133" t="s">
        <v>396</v>
      </c>
      <c r="C133" s="286">
        <v>41924.733067129629</v>
      </c>
      <c r="D133" t="s">
        <v>382</v>
      </c>
      <c r="E133">
        <v>0</v>
      </c>
      <c r="F133" s="287"/>
      <c r="G133" s="287"/>
      <c r="H133" s="287"/>
      <c r="I133" t="s">
        <v>382</v>
      </c>
      <c r="J133" t="s">
        <v>42</v>
      </c>
    </row>
    <row r="134" spans="1:10" x14ac:dyDescent="0.25">
      <c r="A134" t="s">
        <v>394</v>
      </c>
      <c r="C134" s="286">
        <v>41924.810347222221</v>
      </c>
      <c r="D134" t="s">
        <v>382</v>
      </c>
      <c r="E134">
        <v>0</v>
      </c>
      <c r="F134" s="287"/>
      <c r="G134" s="287"/>
      <c r="H134" s="287"/>
      <c r="I134" t="s">
        <v>382</v>
      </c>
      <c r="J134" t="s">
        <v>42</v>
      </c>
    </row>
    <row r="135" spans="1:10" x14ac:dyDescent="0.25">
      <c r="A135" t="s">
        <v>397</v>
      </c>
      <c r="C135" s="286">
        <v>41927.669907407406</v>
      </c>
      <c r="D135" t="s">
        <v>382</v>
      </c>
      <c r="E135">
        <v>0</v>
      </c>
      <c r="F135" s="287"/>
      <c r="G135" s="287"/>
      <c r="H135" s="287"/>
      <c r="I135" t="s">
        <v>382</v>
      </c>
      <c r="J135" t="s">
        <v>42</v>
      </c>
    </row>
    <row r="136" spans="1:10" x14ac:dyDescent="0.25">
      <c r="A136" t="s">
        <v>397</v>
      </c>
      <c r="C136" s="286">
        <v>41927.933703703704</v>
      </c>
      <c r="D136" t="s">
        <v>382</v>
      </c>
      <c r="E136">
        <v>0</v>
      </c>
      <c r="F136" s="287"/>
      <c r="G136" s="287"/>
      <c r="H136" s="287"/>
      <c r="I136" t="s">
        <v>382</v>
      </c>
      <c r="J136" t="s">
        <v>42</v>
      </c>
    </row>
    <row r="137" spans="1:10" x14ac:dyDescent="0.25">
      <c r="A137" t="s">
        <v>397</v>
      </c>
      <c r="C137" s="286">
        <v>41927.944444444445</v>
      </c>
      <c r="D137" t="s">
        <v>382</v>
      </c>
      <c r="E137">
        <v>0</v>
      </c>
      <c r="F137" s="287"/>
      <c r="G137" s="287"/>
      <c r="H137" s="287"/>
      <c r="I137" t="s">
        <v>382</v>
      </c>
      <c r="J137" t="s">
        <v>42</v>
      </c>
    </row>
    <row r="138" spans="1:10" x14ac:dyDescent="0.25">
      <c r="A138" t="s">
        <v>390</v>
      </c>
      <c r="C138" s="286">
        <v>41928.11546296296</v>
      </c>
      <c r="D138" t="s">
        <v>382</v>
      </c>
      <c r="E138">
        <v>0</v>
      </c>
      <c r="F138" s="287"/>
      <c r="G138" s="287"/>
      <c r="H138" s="287"/>
      <c r="I138" t="s">
        <v>382</v>
      </c>
      <c r="J138" t="s">
        <v>42</v>
      </c>
    </row>
    <row r="139" spans="1:10" x14ac:dyDescent="0.25">
      <c r="A139" t="s">
        <v>397</v>
      </c>
      <c r="C139" s="286">
        <v>41928.518483796295</v>
      </c>
      <c r="D139" t="s">
        <v>382</v>
      </c>
      <c r="E139">
        <v>0</v>
      </c>
      <c r="F139" s="287"/>
      <c r="G139" s="287"/>
      <c r="H139" s="287"/>
      <c r="I139" t="s">
        <v>382</v>
      </c>
      <c r="J139" t="s">
        <v>42</v>
      </c>
    </row>
    <row r="140" spans="1:10" x14ac:dyDescent="0.25">
      <c r="A140" t="s">
        <v>397</v>
      </c>
      <c r="C140" s="286">
        <v>41928.808159722219</v>
      </c>
      <c r="D140" t="s">
        <v>382</v>
      </c>
      <c r="E140">
        <v>0</v>
      </c>
      <c r="F140" s="287"/>
      <c r="G140" s="287"/>
      <c r="H140" s="287"/>
      <c r="I140" t="s">
        <v>382</v>
      </c>
      <c r="J140" t="s">
        <v>42</v>
      </c>
    </row>
    <row r="141" spans="1:10" x14ac:dyDescent="0.25">
      <c r="A141" t="s">
        <v>397</v>
      </c>
      <c r="C141" s="286">
        <v>41929.225277777776</v>
      </c>
      <c r="D141" t="s">
        <v>382</v>
      </c>
      <c r="E141">
        <v>0</v>
      </c>
      <c r="F141" s="287"/>
      <c r="G141" s="287"/>
      <c r="H141" s="287"/>
      <c r="I141" t="s">
        <v>382</v>
      </c>
      <c r="J141" t="s">
        <v>42</v>
      </c>
    </row>
    <row r="142" spans="1:10" x14ac:dyDescent="0.25">
      <c r="A142" t="s">
        <v>397</v>
      </c>
      <c r="C142" s="286">
        <v>41929.624583333331</v>
      </c>
      <c r="D142" t="s">
        <v>382</v>
      </c>
      <c r="E142">
        <v>0</v>
      </c>
      <c r="F142" s="287"/>
      <c r="G142" s="287"/>
      <c r="H142" s="287"/>
      <c r="I142" t="s">
        <v>382</v>
      </c>
      <c r="J142" t="s">
        <v>42</v>
      </c>
    </row>
    <row r="143" spans="1:10" x14ac:dyDescent="0.25">
      <c r="A143" t="s">
        <v>397</v>
      </c>
      <c r="C143" s="286">
        <v>41930.092326388891</v>
      </c>
      <c r="D143" t="s">
        <v>382</v>
      </c>
      <c r="E143">
        <v>0</v>
      </c>
      <c r="F143" s="287"/>
      <c r="G143" s="287"/>
      <c r="H143" s="287"/>
      <c r="I143" t="s">
        <v>382</v>
      </c>
      <c r="J143" t="s">
        <v>42</v>
      </c>
    </row>
    <row r="144" spans="1:10" x14ac:dyDescent="0.25">
      <c r="A144" t="s">
        <v>397</v>
      </c>
      <c r="C144" s="286">
        <v>41930.593541666669</v>
      </c>
      <c r="D144" t="s">
        <v>382</v>
      </c>
      <c r="E144">
        <v>0</v>
      </c>
      <c r="F144" s="287"/>
      <c r="G144" s="287"/>
      <c r="H144" s="287"/>
      <c r="I144" t="s">
        <v>382</v>
      </c>
      <c r="J144" t="s">
        <v>42</v>
      </c>
    </row>
    <row r="145" spans="1:10" x14ac:dyDescent="0.25">
      <c r="A145" t="s">
        <v>397</v>
      </c>
      <c r="C145" s="286">
        <v>41931.281307870369</v>
      </c>
      <c r="D145" t="s">
        <v>382</v>
      </c>
      <c r="E145">
        <v>0</v>
      </c>
      <c r="F145" s="287"/>
      <c r="G145" s="287"/>
      <c r="H145" s="287"/>
      <c r="I145" t="s">
        <v>382</v>
      </c>
      <c r="J145" t="s">
        <v>42</v>
      </c>
    </row>
    <row r="146" spans="1:10" x14ac:dyDescent="0.25">
      <c r="A146" t="s">
        <v>397</v>
      </c>
      <c r="C146" s="286">
        <v>41931.590127314812</v>
      </c>
      <c r="D146" t="s">
        <v>382</v>
      </c>
      <c r="E146">
        <v>0</v>
      </c>
      <c r="F146" s="287"/>
      <c r="G146" s="287"/>
      <c r="H146" s="287"/>
      <c r="I146" t="s">
        <v>382</v>
      </c>
      <c r="J146" t="s">
        <v>42</v>
      </c>
    </row>
    <row r="147" spans="1:10" x14ac:dyDescent="0.25">
      <c r="A147" t="s">
        <v>396</v>
      </c>
      <c r="C147" s="286">
        <v>41931.884155092594</v>
      </c>
      <c r="D147" t="s">
        <v>382</v>
      </c>
      <c r="E147">
        <v>0</v>
      </c>
      <c r="F147" s="287"/>
      <c r="G147" s="287"/>
      <c r="H147" s="287"/>
      <c r="I147" t="s">
        <v>382</v>
      </c>
      <c r="J147" t="s">
        <v>42</v>
      </c>
    </row>
    <row r="148" spans="1:10" x14ac:dyDescent="0.25">
      <c r="A148" t="s">
        <v>397</v>
      </c>
      <c r="C148" s="286">
        <v>41932.298310185186</v>
      </c>
      <c r="D148" t="s">
        <v>382</v>
      </c>
      <c r="E148">
        <v>0</v>
      </c>
      <c r="F148" s="287"/>
      <c r="G148" s="287"/>
      <c r="H148" s="287"/>
      <c r="I148" t="s">
        <v>382</v>
      </c>
      <c r="J148" t="s">
        <v>42</v>
      </c>
    </row>
    <row r="149" spans="1:10" x14ac:dyDescent="0.25">
      <c r="A149" t="s">
        <v>397</v>
      </c>
      <c r="C149" s="286">
        <v>41932.640335648146</v>
      </c>
      <c r="D149" t="s">
        <v>382</v>
      </c>
      <c r="E149">
        <v>0</v>
      </c>
      <c r="F149" s="287"/>
      <c r="G149" s="287"/>
      <c r="H149" s="287"/>
      <c r="I149" t="s">
        <v>382</v>
      </c>
      <c r="J149" t="s">
        <v>42</v>
      </c>
    </row>
    <row r="150" spans="1:10" x14ac:dyDescent="0.25">
      <c r="A150" t="s">
        <v>397</v>
      </c>
      <c r="C150" s="286">
        <v>41933.277731481481</v>
      </c>
      <c r="D150" t="s">
        <v>382</v>
      </c>
      <c r="E150">
        <v>0</v>
      </c>
      <c r="F150" s="287"/>
      <c r="G150" s="287"/>
      <c r="H150" s="287"/>
      <c r="I150" t="s">
        <v>382</v>
      </c>
      <c r="J150" t="s">
        <v>42</v>
      </c>
    </row>
    <row r="151" spans="1:10" x14ac:dyDescent="0.25">
      <c r="A151" t="s">
        <v>397</v>
      </c>
      <c r="C151" s="286">
        <v>41933.61409722222</v>
      </c>
      <c r="D151" t="s">
        <v>382</v>
      </c>
      <c r="E151">
        <v>0</v>
      </c>
      <c r="F151" s="287"/>
      <c r="G151" s="287"/>
      <c r="H151" s="287"/>
      <c r="I151" t="s">
        <v>382</v>
      </c>
      <c r="J151" t="s">
        <v>42</v>
      </c>
    </row>
    <row r="152" spans="1:10" x14ac:dyDescent="0.25">
      <c r="A152" t="s">
        <v>397</v>
      </c>
      <c r="C152" s="286">
        <v>41934.616979166669</v>
      </c>
      <c r="D152" t="s">
        <v>382</v>
      </c>
      <c r="E152">
        <v>0</v>
      </c>
      <c r="F152" s="287"/>
      <c r="G152" s="287"/>
      <c r="H152" s="287"/>
      <c r="I152" t="s">
        <v>382</v>
      </c>
      <c r="J152" t="s">
        <v>42</v>
      </c>
    </row>
    <row r="153" spans="1:10" x14ac:dyDescent="0.25">
      <c r="A153" t="s">
        <v>390</v>
      </c>
      <c r="C153" s="286">
        <v>41935.268125000002</v>
      </c>
      <c r="D153" t="s">
        <v>382</v>
      </c>
      <c r="E153">
        <v>0</v>
      </c>
      <c r="F153" s="287"/>
      <c r="G153" s="287"/>
      <c r="H153" s="287"/>
      <c r="I153" t="s">
        <v>382</v>
      </c>
      <c r="J153" t="s">
        <v>42</v>
      </c>
    </row>
    <row r="154" spans="1:10" x14ac:dyDescent="0.25">
      <c r="A154" t="s">
        <v>397</v>
      </c>
      <c r="C154" s="286">
        <v>41936.642916666664</v>
      </c>
      <c r="D154" t="s">
        <v>382</v>
      </c>
      <c r="E154">
        <v>0</v>
      </c>
      <c r="F154" s="287"/>
      <c r="G154" s="287"/>
      <c r="H154" s="287"/>
      <c r="I154" t="s">
        <v>382</v>
      </c>
      <c r="J154" t="s">
        <v>42</v>
      </c>
    </row>
    <row r="155" spans="1:10" x14ac:dyDescent="0.25">
      <c r="A155" t="s">
        <v>399</v>
      </c>
      <c r="C155" s="286">
        <v>41937.710613425923</v>
      </c>
      <c r="D155" t="s">
        <v>382</v>
      </c>
      <c r="E155">
        <v>0</v>
      </c>
      <c r="F155" s="287"/>
      <c r="G155" s="287"/>
      <c r="H155" s="287"/>
      <c r="I155" t="s">
        <v>382</v>
      </c>
      <c r="J155" t="s">
        <v>42</v>
      </c>
    </row>
    <row r="156" spans="1:10" x14ac:dyDescent="0.25">
      <c r="A156" t="s">
        <v>399</v>
      </c>
      <c r="C156" s="286">
        <v>41937.711967592593</v>
      </c>
      <c r="D156" t="s">
        <v>382</v>
      </c>
      <c r="E156">
        <v>0</v>
      </c>
      <c r="F156" s="287"/>
      <c r="G156" s="287"/>
      <c r="H156" s="287"/>
      <c r="I156" t="s">
        <v>382</v>
      </c>
      <c r="J156" t="s">
        <v>42</v>
      </c>
    </row>
    <row r="157" spans="1:10" x14ac:dyDescent="0.25">
      <c r="A157" t="s">
        <v>397</v>
      </c>
      <c r="C157" s="286">
        <v>41938.557233796295</v>
      </c>
      <c r="D157" t="s">
        <v>382</v>
      </c>
      <c r="E157">
        <v>0</v>
      </c>
      <c r="F157" s="287"/>
      <c r="G157" s="287"/>
      <c r="H157" s="287"/>
      <c r="I157" t="s">
        <v>382</v>
      </c>
      <c r="J157" t="s">
        <v>42</v>
      </c>
    </row>
    <row r="158" spans="1:10" x14ac:dyDescent="0.25">
      <c r="A158" t="s">
        <v>397</v>
      </c>
      <c r="C158" s="286">
        <v>41939.563599537039</v>
      </c>
      <c r="D158" t="s">
        <v>382</v>
      </c>
      <c r="E158">
        <v>0</v>
      </c>
      <c r="F158" s="287"/>
      <c r="G158" s="287"/>
      <c r="H158" s="287"/>
      <c r="I158" t="s">
        <v>382</v>
      </c>
      <c r="J158" t="s">
        <v>42</v>
      </c>
    </row>
    <row r="159" spans="1:10" x14ac:dyDescent="0.25">
      <c r="A159" t="s">
        <v>397</v>
      </c>
      <c r="C159" s="286">
        <v>41940.595358796294</v>
      </c>
      <c r="D159" t="s">
        <v>382</v>
      </c>
      <c r="E159">
        <v>0</v>
      </c>
      <c r="F159" s="287"/>
      <c r="G159" s="287"/>
      <c r="H159" s="287"/>
      <c r="I159" t="s">
        <v>382</v>
      </c>
      <c r="J159" t="s">
        <v>42</v>
      </c>
    </row>
    <row r="160" spans="1:10" x14ac:dyDescent="0.25">
      <c r="A160" t="s">
        <v>397</v>
      </c>
      <c r="C160" s="286">
        <v>41941.629942129628</v>
      </c>
      <c r="D160" t="s">
        <v>382</v>
      </c>
      <c r="E160">
        <v>0</v>
      </c>
      <c r="F160" s="287"/>
      <c r="G160" s="287"/>
      <c r="H160" s="287"/>
      <c r="I160" t="s">
        <v>382</v>
      </c>
      <c r="J160" t="s">
        <v>42</v>
      </c>
    </row>
    <row r="161" spans="1:10" x14ac:dyDescent="0.25">
      <c r="A161" t="s">
        <v>390</v>
      </c>
      <c r="C161" s="286">
        <v>41941.95484953704</v>
      </c>
      <c r="D161" t="s">
        <v>382</v>
      </c>
      <c r="E161">
        <v>0</v>
      </c>
      <c r="F161" s="287"/>
      <c r="G161" s="287"/>
      <c r="H161" s="287"/>
      <c r="I161" t="s">
        <v>382</v>
      </c>
      <c r="J161" t="s">
        <v>42</v>
      </c>
    </row>
    <row r="162" spans="1:10" x14ac:dyDescent="0.25">
      <c r="A162" t="s">
        <v>397</v>
      </c>
      <c r="C162" s="286">
        <v>41942.614641203705</v>
      </c>
      <c r="D162" t="s">
        <v>382</v>
      </c>
      <c r="E162">
        <v>0</v>
      </c>
      <c r="F162" s="287"/>
      <c r="G162" s="287"/>
      <c r="H162" s="287"/>
      <c r="I162" t="s">
        <v>382</v>
      </c>
      <c r="J162" t="s">
        <v>42</v>
      </c>
    </row>
    <row r="163" spans="1:10" x14ac:dyDescent="0.25">
      <c r="A163" t="s">
        <v>397</v>
      </c>
      <c r="C163" s="286">
        <v>41943.571840277778</v>
      </c>
      <c r="D163" t="s">
        <v>382</v>
      </c>
      <c r="E163">
        <v>0</v>
      </c>
      <c r="F163" s="287"/>
      <c r="G163" s="287"/>
      <c r="H163" s="287"/>
      <c r="I163" t="s">
        <v>382</v>
      </c>
      <c r="J163" t="s">
        <v>42</v>
      </c>
    </row>
    <row r="164" spans="1:10" x14ac:dyDescent="0.25">
      <c r="A164" t="s">
        <v>397</v>
      </c>
      <c r="C164" s="286">
        <v>41944.582511574074</v>
      </c>
      <c r="D164" t="s">
        <v>382</v>
      </c>
      <c r="E164">
        <v>0</v>
      </c>
      <c r="F164" s="287"/>
      <c r="G164" s="287"/>
      <c r="H164" s="287"/>
      <c r="I164" t="s">
        <v>382</v>
      </c>
      <c r="J164" t="s">
        <v>42</v>
      </c>
    </row>
    <row r="165" spans="1:10" x14ac:dyDescent="0.25">
      <c r="A165" t="s">
        <v>396</v>
      </c>
      <c r="C165" s="286">
        <v>41945.58153935185</v>
      </c>
      <c r="D165" t="s">
        <v>382</v>
      </c>
      <c r="E165">
        <v>0</v>
      </c>
      <c r="F165" s="287"/>
      <c r="G165" s="287"/>
      <c r="H165" s="287"/>
      <c r="I165" t="s">
        <v>382</v>
      </c>
      <c r="J165" t="s">
        <v>42</v>
      </c>
    </row>
    <row r="166" spans="1:10" x14ac:dyDescent="0.25">
      <c r="A166" t="s">
        <v>397</v>
      </c>
      <c r="C166" s="286">
        <v>41945.678831018522</v>
      </c>
      <c r="D166" t="s">
        <v>382</v>
      </c>
      <c r="E166">
        <v>0</v>
      </c>
      <c r="F166" s="287"/>
      <c r="G166" s="287"/>
      <c r="H166" s="287"/>
      <c r="I166" t="s">
        <v>382</v>
      </c>
      <c r="J166" t="s">
        <v>42</v>
      </c>
    </row>
    <row r="167" spans="1:10" x14ac:dyDescent="0.25">
      <c r="A167" t="s">
        <v>397</v>
      </c>
      <c r="C167" s="286">
        <v>41946.722766203704</v>
      </c>
      <c r="D167" t="s">
        <v>382</v>
      </c>
      <c r="E167">
        <v>0</v>
      </c>
      <c r="F167" s="287"/>
      <c r="G167" s="287"/>
      <c r="H167" s="287"/>
      <c r="I167" t="s">
        <v>382</v>
      </c>
      <c r="J167" t="s">
        <v>42</v>
      </c>
    </row>
    <row r="168" spans="1:10" x14ac:dyDescent="0.25">
      <c r="A168" t="s">
        <v>397</v>
      </c>
      <c r="C168" s="286">
        <v>41947.727905092594</v>
      </c>
      <c r="D168" t="s">
        <v>382</v>
      </c>
      <c r="E168">
        <v>0</v>
      </c>
      <c r="F168" s="287"/>
      <c r="G168" s="287"/>
      <c r="H168" s="287"/>
      <c r="I168" t="s">
        <v>382</v>
      </c>
      <c r="J168" t="s">
        <v>42</v>
      </c>
    </row>
    <row r="169" spans="1:10" x14ac:dyDescent="0.25">
      <c r="A169" t="s">
        <v>390</v>
      </c>
      <c r="C169" s="286">
        <v>41949.02553240741</v>
      </c>
      <c r="D169" t="s">
        <v>382</v>
      </c>
      <c r="E169">
        <v>0</v>
      </c>
      <c r="F169" s="287"/>
      <c r="G169" s="287"/>
      <c r="H169" s="287"/>
      <c r="I169" t="s">
        <v>382</v>
      </c>
      <c r="J169" t="s">
        <v>42</v>
      </c>
    </row>
    <row r="170" spans="1:10" x14ac:dyDescent="0.25">
      <c r="A170" t="s">
        <v>397</v>
      </c>
      <c r="C170" s="286">
        <v>41949.187256944446</v>
      </c>
      <c r="D170" t="s">
        <v>382</v>
      </c>
      <c r="E170">
        <v>0</v>
      </c>
      <c r="F170" s="287"/>
      <c r="G170" s="287"/>
      <c r="H170" s="287"/>
      <c r="I170" t="s">
        <v>382</v>
      </c>
      <c r="J170" t="s">
        <v>42</v>
      </c>
    </row>
    <row r="171" spans="1:10" x14ac:dyDescent="0.25">
      <c r="A171" t="s">
        <v>396</v>
      </c>
      <c r="C171" s="286">
        <v>41951.626018518517</v>
      </c>
      <c r="D171" t="s">
        <v>382</v>
      </c>
      <c r="E171">
        <v>0</v>
      </c>
      <c r="F171" s="287"/>
      <c r="G171" s="287"/>
      <c r="H171" s="287"/>
      <c r="I171" t="s">
        <v>382</v>
      </c>
      <c r="J171" t="s">
        <v>42</v>
      </c>
    </row>
    <row r="172" spans="1:10" x14ac:dyDescent="0.25">
      <c r="A172" t="s">
        <v>397</v>
      </c>
      <c r="C172" s="286">
        <v>41954.118483796294</v>
      </c>
      <c r="D172" t="s">
        <v>382</v>
      </c>
      <c r="E172">
        <v>0</v>
      </c>
      <c r="F172" s="287"/>
      <c r="G172" s="287"/>
      <c r="H172" s="287"/>
      <c r="I172" t="s">
        <v>382</v>
      </c>
      <c r="J172" t="s">
        <v>42</v>
      </c>
    </row>
    <row r="173" spans="1:10" x14ac:dyDescent="0.25">
      <c r="A173" t="s">
        <v>397</v>
      </c>
      <c r="C173" s="286">
        <v>41955.680312500001</v>
      </c>
      <c r="D173" t="s">
        <v>382</v>
      </c>
      <c r="E173">
        <v>0</v>
      </c>
      <c r="F173" s="287"/>
      <c r="G173" s="287"/>
      <c r="H173" s="287"/>
      <c r="I173" t="s">
        <v>382</v>
      </c>
      <c r="J173" t="s">
        <v>42</v>
      </c>
    </row>
    <row r="174" spans="1:10" x14ac:dyDescent="0.25">
      <c r="A174" t="s">
        <v>390</v>
      </c>
      <c r="C174" s="286">
        <v>41955.938425925924</v>
      </c>
      <c r="D174" t="s">
        <v>382</v>
      </c>
      <c r="E174">
        <v>0</v>
      </c>
      <c r="F174" s="287"/>
      <c r="G174" s="287"/>
      <c r="H174" s="287"/>
      <c r="I174" t="s">
        <v>382</v>
      </c>
      <c r="J174" t="s">
        <v>42</v>
      </c>
    </row>
    <row r="175" spans="1:10" x14ac:dyDescent="0.25">
      <c r="A175" t="s">
        <v>397</v>
      </c>
      <c r="C175" s="286">
        <v>41956.723483796297</v>
      </c>
      <c r="D175" t="s">
        <v>382</v>
      </c>
      <c r="E175">
        <v>0</v>
      </c>
      <c r="F175" s="287"/>
      <c r="G175" s="287"/>
      <c r="H175" s="287"/>
      <c r="I175" t="s">
        <v>382</v>
      </c>
      <c r="J175" t="s">
        <v>42</v>
      </c>
    </row>
    <row r="176" spans="1:10" x14ac:dyDescent="0.25">
      <c r="A176" t="s">
        <v>390</v>
      </c>
      <c r="C176" s="286">
        <v>41957.821689814817</v>
      </c>
      <c r="D176" t="s">
        <v>382</v>
      </c>
      <c r="E176">
        <v>0</v>
      </c>
      <c r="F176" s="287"/>
      <c r="G176" s="287"/>
      <c r="H176" s="287"/>
      <c r="I176" t="s">
        <v>382</v>
      </c>
      <c r="J176" t="s">
        <v>42</v>
      </c>
    </row>
    <row r="177" spans="1:10" x14ac:dyDescent="0.25">
      <c r="A177" t="s">
        <v>396</v>
      </c>
      <c r="C177" s="286">
        <v>41957.959374999999</v>
      </c>
      <c r="D177" t="s">
        <v>382</v>
      </c>
      <c r="E177">
        <v>0</v>
      </c>
      <c r="F177" s="287"/>
      <c r="G177" s="287"/>
      <c r="H177" s="287"/>
      <c r="I177" t="s">
        <v>382</v>
      </c>
      <c r="J177" t="s">
        <v>42</v>
      </c>
    </row>
    <row r="178" spans="1:10" x14ac:dyDescent="0.25">
      <c r="A178" t="s">
        <v>397</v>
      </c>
      <c r="C178" s="286">
        <v>41959.608356481483</v>
      </c>
      <c r="D178" t="s">
        <v>382</v>
      </c>
      <c r="E178">
        <v>0</v>
      </c>
      <c r="F178" s="287"/>
      <c r="G178" s="287"/>
      <c r="H178" s="287"/>
      <c r="I178" t="s">
        <v>382</v>
      </c>
      <c r="J178" t="s">
        <v>42</v>
      </c>
    </row>
    <row r="179" spans="1:10" x14ac:dyDescent="0.25">
      <c r="A179" t="s">
        <v>397</v>
      </c>
      <c r="C179" s="286">
        <v>41960.626354166663</v>
      </c>
      <c r="D179" t="s">
        <v>382</v>
      </c>
      <c r="E179">
        <v>0</v>
      </c>
      <c r="F179" s="287"/>
      <c r="G179" s="287"/>
      <c r="H179" s="287"/>
      <c r="I179" t="s">
        <v>382</v>
      </c>
      <c r="J179" t="s">
        <v>42</v>
      </c>
    </row>
    <row r="180" spans="1:10" x14ac:dyDescent="0.25">
      <c r="A180" t="s">
        <v>397</v>
      </c>
      <c r="C180" s="286">
        <v>41961.626793981479</v>
      </c>
      <c r="D180" t="s">
        <v>382</v>
      </c>
      <c r="E180">
        <v>0</v>
      </c>
      <c r="F180" s="287"/>
      <c r="G180" s="287"/>
      <c r="H180" s="287"/>
      <c r="I180" t="s">
        <v>382</v>
      </c>
      <c r="J180" t="s">
        <v>42</v>
      </c>
    </row>
    <row r="181" spans="1:10" x14ac:dyDescent="0.25">
      <c r="A181" t="s">
        <v>397</v>
      </c>
      <c r="C181" s="286">
        <v>41962.626018518517</v>
      </c>
      <c r="D181" t="s">
        <v>382</v>
      </c>
      <c r="E181">
        <v>0</v>
      </c>
      <c r="F181" s="287"/>
      <c r="G181" s="287"/>
      <c r="H181" s="287"/>
      <c r="I181" t="s">
        <v>382</v>
      </c>
      <c r="J181" t="s">
        <v>42</v>
      </c>
    </row>
    <row r="182" spans="1:10" x14ac:dyDescent="0.25">
      <c r="A182" t="s">
        <v>390</v>
      </c>
      <c r="C182" s="286">
        <v>41962.833078703705</v>
      </c>
      <c r="D182" t="s">
        <v>382</v>
      </c>
      <c r="E182">
        <v>0</v>
      </c>
      <c r="F182" s="287"/>
      <c r="G182" s="287"/>
      <c r="H182" s="287"/>
      <c r="I182" t="s">
        <v>382</v>
      </c>
      <c r="J182" t="s">
        <v>42</v>
      </c>
    </row>
    <row r="183" spans="1:10" x14ac:dyDescent="0.25">
      <c r="A183" t="s">
        <v>397</v>
      </c>
      <c r="C183" s="286">
        <v>41963.665567129632</v>
      </c>
      <c r="D183" t="s">
        <v>382</v>
      </c>
      <c r="E183">
        <v>0</v>
      </c>
      <c r="F183" s="287"/>
      <c r="G183" s="287"/>
      <c r="H183" s="287"/>
      <c r="I183" t="s">
        <v>382</v>
      </c>
      <c r="J183" t="s">
        <v>42</v>
      </c>
    </row>
    <row r="184" spans="1:10" x14ac:dyDescent="0.25">
      <c r="A184" t="s">
        <v>397</v>
      </c>
      <c r="C184" s="286">
        <v>41964.639004629629</v>
      </c>
      <c r="D184" t="s">
        <v>382</v>
      </c>
      <c r="E184">
        <v>0</v>
      </c>
      <c r="F184" s="287"/>
      <c r="G184" s="287"/>
      <c r="H184" s="287"/>
      <c r="I184" t="s">
        <v>382</v>
      </c>
      <c r="J184" t="s">
        <v>42</v>
      </c>
    </row>
    <row r="185" spans="1:10" x14ac:dyDescent="0.25">
      <c r="A185" t="s">
        <v>397</v>
      </c>
      <c r="C185" s="286">
        <v>41965.657476851855</v>
      </c>
      <c r="D185" t="s">
        <v>382</v>
      </c>
      <c r="E185">
        <v>0</v>
      </c>
      <c r="F185" s="287"/>
      <c r="G185" s="287"/>
      <c r="H185" s="287"/>
      <c r="I185" t="s">
        <v>382</v>
      </c>
      <c r="J185" t="s">
        <v>42</v>
      </c>
    </row>
    <row r="186" spans="1:10" x14ac:dyDescent="0.25">
      <c r="A186" t="s">
        <v>397</v>
      </c>
      <c r="C186" s="286">
        <v>41966.609664351854</v>
      </c>
      <c r="D186" t="s">
        <v>382</v>
      </c>
      <c r="E186">
        <v>0</v>
      </c>
      <c r="F186" s="287"/>
      <c r="G186" s="287"/>
      <c r="H186" s="287"/>
      <c r="I186" t="s">
        <v>382</v>
      </c>
      <c r="J186" t="s">
        <v>42</v>
      </c>
    </row>
    <row r="187" spans="1:10" x14ac:dyDescent="0.25">
      <c r="A187" t="s">
        <v>396</v>
      </c>
      <c r="C187" s="286">
        <v>41967.0940625</v>
      </c>
      <c r="D187" t="s">
        <v>382</v>
      </c>
      <c r="E187">
        <v>0</v>
      </c>
      <c r="F187" s="287"/>
      <c r="G187" s="287"/>
      <c r="H187" s="287"/>
      <c r="I187" t="s">
        <v>382</v>
      </c>
      <c r="J187" t="s">
        <v>42</v>
      </c>
    </row>
    <row r="188" spans="1:10" x14ac:dyDescent="0.25">
      <c r="A188" t="s">
        <v>397</v>
      </c>
      <c r="C188" s="286">
        <v>41967.663344907407</v>
      </c>
      <c r="D188" t="s">
        <v>382</v>
      </c>
      <c r="E188">
        <v>0</v>
      </c>
      <c r="F188" s="287"/>
      <c r="G188" s="287"/>
      <c r="H188" s="287"/>
      <c r="I188" t="s">
        <v>382</v>
      </c>
      <c r="J188" t="s">
        <v>42</v>
      </c>
    </row>
    <row r="189" spans="1:10" x14ac:dyDescent="0.25">
      <c r="A189" t="s">
        <v>397</v>
      </c>
      <c r="C189" s="286">
        <v>41968.653668981482</v>
      </c>
      <c r="D189" t="s">
        <v>382</v>
      </c>
      <c r="E189">
        <v>0</v>
      </c>
      <c r="F189" s="287"/>
      <c r="G189" s="287"/>
      <c r="H189" s="287"/>
      <c r="I189" t="s">
        <v>382</v>
      </c>
      <c r="J189" t="s">
        <v>42</v>
      </c>
    </row>
    <row r="190" spans="1:10" x14ac:dyDescent="0.25">
      <c r="A190" t="s">
        <v>397</v>
      </c>
      <c r="C190" s="286">
        <v>41969.622719907406</v>
      </c>
      <c r="D190" t="s">
        <v>382</v>
      </c>
      <c r="E190">
        <v>0</v>
      </c>
      <c r="F190" s="287"/>
      <c r="G190" s="287"/>
      <c r="H190" s="287"/>
      <c r="I190" t="s">
        <v>382</v>
      </c>
      <c r="J190" t="s">
        <v>42</v>
      </c>
    </row>
    <row r="191" spans="1:10" x14ac:dyDescent="0.25">
      <c r="A191" t="s">
        <v>390</v>
      </c>
      <c r="C191" s="286">
        <v>41970.061747685184</v>
      </c>
      <c r="D191" t="s">
        <v>382</v>
      </c>
      <c r="E191">
        <v>0</v>
      </c>
      <c r="F191" s="287"/>
      <c r="G191" s="287"/>
      <c r="H191" s="287"/>
      <c r="I191" t="s">
        <v>382</v>
      </c>
      <c r="J191" t="s">
        <v>42</v>
      </c>
    </row>
    <row r="192" spans="1:10" x14ac:dyDescent="0.25">
      <c r="A192" t="s">
        <v>397</v>
      </c>
      <c r="C192" s="286">
        <v>41970.630335648151</v>
      </c>
      <c r="D192" t="s">
        <v>382</v>
      </c>
      <c r="E192">
        <v>0</v>
      </c>
      <c r="F192" s="287"/>
      <c r="G192" s="287"/>
      <c r="H192" s="287"/>
      <c r="I192" t="s">
        <v>382</v>
      </c>
      <c r="J192" t="s">
        <v>42</v>
      </c>
    </row>
    <row r="193" spans="1:10" x14ac:dyDescent="0.25">
      <c r="A193" t="s">
        <v>397</v>
      </c>
      <c r="C193" s="286">
        <v>41971.642627314817</v>
      </c>
      <c r="D193" t="s">
        <v>382</v>
      </c>
      <c r="E193">
        <v>0</v>
      </c>
      <c r="F193" s="287"/>
      <c r="G193" s="287"/>
      <c r="H193" s="287"/>
      <c r="I193" t="s">
        <v>382</v>
      </c>
      <c r="J193" t="s">
        <v>42</v>
      </c>
    </row>
    <row r="194" spans="1:10" x14ac:dyDescent="0.25">
      <c r="A194" t="s">
        <v>397</v>
      </c>
      <c r="C194" s="286">
        <v>41972.625358796293</v>
      </c>
      <c r="D194" t="s">
        <v>382</v>
      </c>
      <c r="E194">
        <v>0</v>
      </c>
      <c r="F194" s="287"/>
      <c r="G194" s="287"/>
      <c r="H194" s="287"/>
      <c r="I194" t="s">
        <v>382</v>
      </c>
      <c r="J194" t="s">
        <v>42</v>
      </c>
    </row>
    <row r="195" spans="1:10" x14ac:dyDescent="0.25">
      <c r="A195" t="s">
        <v>397</v>
      </c>
      <c r="C195" s="286">
        <v>41973.631215277775</v>
      </c>
      <c r="D195" t="s">
        <v>382</v>
      </c>
      <c r="E195">
        <v>0</v>
      </c>
      <c r="F195" s="287"/>
      <c r="G195" s="287"/>
      <c r="H195" s="287"/>
      <c r="I195" t="s">
        <v>382</v>
      </c>
      <c r="J195" t="s">
        <v>42</v>
      </c>
    </row>
    <row r="196" spans="1:10" x14ac:dyDescent="0.25">
      <c r="A196" t="s">
        <v>397</v>
      </c>
      <c r="C196" s="286">
        <v>41974.633125</v>
      </c>
      <c r="D196" t="s">
        <v>382</v>
      </c>
      <c r="E196">
        <v>0</v>
      </c>
      <c r="F196" s="287"/>
      <c r="G196" s="287"/>
      <c r="H196" s="287"/>
      <c r="I196" t="s">
        <v>382</v>
      </c>
      <c r="J196" t="s">
        <v>42</v>
      </c>
    </row>
    <row r="197" spans="1:10" x14ac:dyDescent="0.25">
      <c r="A197" t="s">
        <v>397</v>
      </c>
      <c r="C197" s="286">
        <v>41975.58353009259</v>
      </c>
      <c r="D197" t="s">
        <v>382</v>
      </c>
      <c r="E197">
        <v>0</v>
      </c>
      <c r="F197" s="287"/>
      <c r="G197" s="287"/>
      <c r="H197" s="287"/>
      <c r="I197" t="s">
        <v>382</v>
      </c>
      <c r="J197" t="s">
        <v>42</v>
      </c>
    </row>
    <row r="198" spans="1:10" x14ac:dyDescent="0.25">
      <c r="A198" t="s">
        <v>397</v>
      </c>
      <c r="C198" s="286">
        <v>41976.642002314817</v>
      </c>
      <c r="D198" t="s">
        <v>382</v>
      </c>
      <c r="E198">
        <v>0</v>
      </c>
      <c r="F198" s="287"/>
      <c r="G198" s="287"/>
      <c r="H198" s="287"/>
      <c r="I198" t="s">
        <v>382</v>
      </c>
      <c r="J198" t="s">
        <v>42</v>
      </c>
    </row>
    <row r="199" spans="1:10" x14ac:dyDescent="0.25">
      <c r="A199" t="s">
        <v>390</v>
      </c>
      <c r="C199" s="286">
        <v>41976.969317129631</v>
      </c>
      <c r="D199" t="s">
        <v>382</v>
      </c>
      <c r="E199">
        <v>0</v>
      </c>
      <c r="F199" s="287"/>
      <c r="G199" s="287"/>
      <c r="H199" s="287"/>
      <c r="I199" t="s">
        <v>382</v>
      </c>
      <c r="J199" t="s">
        <v>42</v>
      </c>
    </row>
    <row r="200" spans="1:10" x14ac:dyDescent="0.25">
      <c r="A200" t="s">
        <v>397</v>
      </c>
      <c r="C200" s="286">
        <v>41977.549212962964</v>
      </c>
      <c r="D200" t="s">
        <v>382</v>
      </c>
      <c r="E200">
        <v>0</v>
      </c>
      <c r="F200" s="287"/>
      <c r="G200" s="287"/>
      <c r="H200" s="287"/>
      <c r="I200" t="s">
        <v>382</v>
      </c>
      <c r="J200" t="s">
        <v>42</v>
      </c>
    </row>
    <row r="201" spans="1:10" x14ac:dyDescent="0.25">
      <c r="A201" t="s">
        <v>396</v>
      </c>
      <c r="C201" s="286">
        <v>41977.605740740742</v>
      </c>
      <c r="D201" t="s">
        <v>382</v>
      </c>
      <c r="E201">
        <v>0</v>
      </c>
      <c r="F201" s="287"/>
      <c r="G201" s="287"/>
      <c r="H201" s="287"/>
      <c r="I201" t="s">
        <v>382</v>
      </c>
      <c r="J201" t="s">
        <v>42</v>
      </c>
    </row>
    <row r="202" spans="1:10" x14ac:dyDescent="0.25">
      <c r="A202" t="s">
        <v>397</v>
      </c>
      <c r="C202" s="286">
        <v>41978.607777777775</v>
      </c>
      <c r="D202" t="s">
        <v>382</v>
      </c>
      <c r="E202">
        <v>0</v>
      </c>
      <c r="F202" s="287"/>
      <c r="G202" s="287"/>
      <c r="H202" s="287"/>
      <c r="I202" t="s">
        <v>382</v>
      </c>
      <c r="J202" t="s">
        <v>42</v>
      </c>
    </row>
    <row r="203" spans="1:10" x14ac:dyDescent="0.25">
      <c r="A203" t="s">
        <v>397</v>
      </c>
      <c r="C203" s="286">
        <v>41979.625127314815</v>
      </c>
      <c r="D203" t="s">
        <v>382</v>
      </c>
      <c r="E203">
        <v>0</v>
      </c>
      <c r="F203" s="287"/>
      <c r="G203" s="287"/>
      <c r="H203" s="287"/>
      <c r="I203" t="s">
        <v>382</v>
      </c>
      <c r="J203" t="s">
        <v>42</v>
      </c>
    </row>
    <row r="204" spans="1:10" x14ac:dyDescent="0.25">
      <c r="A204" t="s">
        <v>396</v>
      </c>
      <c r="C204" s="286">
        <v>41980.466828703706</v>
      </c>
      <c r="D204" t="s">
        <v>382</v>
      </c>
      <c r="E204">
        <v>0</v>
      </c>
      <c r="F204" s="287"/>
      <c r="G204" s="287"/>
      <c r="H204" s="287"/>
      <c r="I204" t="s">
        <v>382</v>
      </c>
      <c r="J204" t="s">
        <v>42</v>
      </c>
    </row>
    <row r="205" spans="1:10" x14ac:dyDescent="0.25">
      <c r="A205" t="s">
        <v>397</v>
      </c>
      <c r="C205" s="286">
        <v>41980.598541666666</v>
      </c>
      <c r="D205" t="s">
        <v>382</v>
      </c>
      <c r="E205">
        <v>0</v>
      </c>
      <c r="F205" s="287"/>
      <c r="G205" s="287"/>
      <c r="H205" s="287"/>
      <c r="I205" t="s">
        <v>382</v>
      </c>
      <c r="J205" t="s">
        <v>42</v>
      </c>
    </row>
    <row r="206" spans="1:10" x14ac:dyDescent="0.25">
      <c r="A206" t="s">
        <v>397</v>
      </c>
      <c r="C206" s="286">
        <v>41982.593819444446</v>
      </c>
      <c r="D206" t="s">
        <v>382</v>
      </c>
      <c r="E206">
        <v>0</v>
      </c>
      <c r="F206" s="287"/>
      <c r="G206" s="287"/>
      <c r="H206" s="287"/>
      <c r="I206" t="s">
        <v>382</v>
      </c>
      <c r="J206" t="s">
        <v>42</v>
      </c>
    </row>
    <row r="207" spans="1:10" x14ac:dyDescent="0.25">
      <c r="A207" t="s">
        <v>397</v>
      </c>
      <c r="C207" s="286">
        <v>41983.649745370371</v>
      </c>
      <c r="D207" t="s">
        <v>382</v>
      </c>
      <c r="E207">
        <v>0</v>
      </c>
      <c r="F207" s="287"/>
      <c r="G207" s="287"/>
      <c r="H207" s="287"/>
      <c r="I207" t="s">
        <v>382</v>
      </c>
      <c r="J207" t="s">
        <v>42</v>
      </c>
    </row>
    <row r="208" spans="1:10" x14ac:dyDescent="0.25">
      <c r="A208" t="s">
        <v>390</v>
      </c>
      <c r="C208" s="286">
        <v>41983.748680555553</v>
      </c>
      <c r="D208" t="s">
        <v>382</v>
      </c>
      <c r="E208">
        <v>0</v>
      </c>
      <c r="F208" s="287"/>
      <c r="G208" s="287"/>
      <c r="H208" s="287"/>
      <c r="I208" t="s">
        <v>382</v>
      </c>
      <c r="J208" t="s">
        <v>42</v>
      </c>
    </row>
    <row r="209" spans="1:10" x14ac:dyDescent="0.25">
      <c r="A209" t="s">
        <v>396</v>
      </c>
      <c r="C209" s="286">
        <v>41984.662627314814</v>
      </c>
      <c r="D209" t="s">
        <v>382</v>
      </c>
      <c r="E209">
        <v>0</v>
      </c>
      <c r="F209" s="287"/>
      <c r="G209" s="287"/>
      <c r="H209" s="287"/>
      <c r="I209" t="s">
        <v>382</v>
      </c>
      <c r="J209" t="s">
        <v>42</v>
      </c>
    </row>
    <row r="210" spans="1:10" x14ac:dyDescent="0.25">
      <c r="A210" t="s">
        <v>397</v>
      </c>
      <c r="C210" s="286">
        <v>41985.570879629631</v>
      </c>
      <c r="D210" t="s">
        <v>382</v>
      </c>
      <c r="E210">
        <v>0</v>
      </c>
      <c r="F210" s="287"/>
      <c r="G210" s="287"/>
      <c r="H210" s="287"/>
      <c r="I210" t="s">
        <v>382</v>
      </c>
      <c r="J210" t="s">
        <v>42</v>
      </c>
    </row>
    <row r="211" spans="1:10" x14ac:dyDescent="0.25">
      <c r="A211" t="s">
        <v>396</v>
      </c>
      <c r="C211" s="286">
        <v>41986.624236111114</v>
      </c>
      <c r="D211" t="s">
        <v>382</v>
      </c>
      <c r="E211">
        <v>0</v>
      </c>
      <c r="F211" s="287"/>
      <c r="G211" s="287"/>
      <c r="H211" s="287"/>
      <c r="I211" t="s">
        <v>382</v>
      </c>
      <c r="J211" t="s">
        <v>42</v>
      </c>
    </row>
    <row r="212" spans="1:10" x14ac:dyDescent="0.25">
      <c r="A212" t="s">
        <v>396</v>
      </c>
      <c r="C212" s="286">
        <v>41988.652881944443</v>
      </c>
      <c r="D212" t="s">
        <v>382</v>
      </c>
      <c r="E212">
        <v>0</v>
      </c>
      <c r="F212" s="287"/>
      <c r="G212" s="287"/>
      <c r="H212" s="287"/>
      <c r="I212" t="s">
        <v>382</v>
      </c>
      <c r="J212" t="s">
        <v>42</v>
      </c>
    </row>
    <row r="213" spans="1:10" x14ac:dyDescent="0.25">
      <c r="A213" t="s">
        <v>396</v>
      </c>
      <c r="C213" s="286">
        <v>41990.605821759258</v>
      </c>
      <c r="D213" t="s">
        <v>382</v>
      </c>
      <c r="E213">
        <v>0</v>
      </c>
      <c r="F213" s="287"/>
      <c r="G213" s="287"/>
      <c r="H213" s="287"/>
      <c r="I213" t="s">
        <v>382</v>
      </c>
      <c r="J213" t="s">
        <v>42</v>
      </c>
    </row>
    <row r="214" spans="1:10" x14ac:dyDescent="0.25">
      <c r="A214" t="s">
        <v>390</v>
      </c>
      <c r="C214" s="286">
        <v>41991.121099537035</v>
      </c>
      <c r="D214" t="s">
        <v>382</v>
      </c>
      <c r="E214">
        <v>0</v>
      </c>
      <c r="F214" s="287"/>
      <c r="G214" s="287"/>
      <c r="H214" s="287"/>
      <c r="I214" t="s">
        <v>382</v>
      </c>
      <c r="J214" t="s">
        <v>42</v>
      </c>
    </row>
    <row r="215" spans="1:10" x14ac:dyDescent="0.25">
      <c r="A215" t="s">
        <v>396</v>
      </c>
      <c r="C215" s="286">
        <v>41992.634895833333</v>
      </c>
      <c r="D215" t="s">
        <v>382</v>
      </c>
      <c r="E215">
        <v>0</v>
      </c>
      <c r="F215" s="287"/>
      <c r="G215" s="287"/>
      <c r="H215" s="287"/>
      <c r="I215" t="s">
        <v>382</v>
      </c>
      <c r="J215" t="s">
        <v>42</v>
      </c>
    </row>
    <row r="216" spans="1:10" x14ac:dyDescent="0.25">
      <c r="A216" t="s">
        <v>397</v>
      </c>
      <c r="C216" s="286">
        <v>41994.622731481482</v>
      </c>
      <c r="D216" t="s">
        <v>382</v>
      </c>
      <c r="E216">
        <v>0</v>
      </c>
      <c r="F216" s="287"/>
      <c r="G216" s="287"/>
      <c r="H216" s="287"/>
      <c r="I216" t="s">
        <v>382</v>
      </c>
      <c r="J216" t="s">
        <v>42</v>
      </c>
    </row>
    <row r="217" spans="1:10" x14ac:dyDescent="0.25">
      <c r="A217" t="s">
        <v>390</v>
      </c>
      <c r="C217" s="286">
        <v>41995.742534722223</v>
      </c>
      <c r="D217" t="s">
        <v>382</v>
      </c>
      <c r="E217">
        <v>0</v>
      </c>
      <c r="F217" s="287"/>
      <c r="G217" s="287"/>
      <c r="H217" s="287"/>
      <c r="I217" t="s">
        <v>382</v>
      </c>
      <c r="J217" t="s">
        <v>42</v>
      </c>
    </row>
    <row r="218" spans="1:10" x14ac:dyDescent="0.25">
      <c r="A218" t="s">
        <v>397</v>
      </c>
      <c r="C218" s="286">
        <v>41997.32340277778</v>
      </c>
      <c r="D218" t="s">
        <v>382</v>
      </c>
      <c r="E218">
        <v>0</v>
      </c>
      <c r="F218" s="287"/>
      <c r="G218" s="287"/>
      <c r="H218" s="287"/>
      <c r="I218" t="s">
        <v>382</v>
      </c>
      <c r="J218" t="s">
        <v>42</v>
      </c>
    </row>
    <row r="219" spans="1:10" x14ac:dyDescent="0.25">
      <c r="A219" t="s">
        <v>390</v>
      </c>
      <c r="C219" s="286">
        <v>41998.028009259258</v>
      </c>
      <c r="D219" t="s">
        <v>382</v>
      </c>
      <c r="E219">
        <v>0</v>
      </c>
      <c r="F219" s="287"/>
      <c r="G219" s="287"/>
      <c r="H219" s="287"/>
      <c r="I219" t="s">
        <v>382</v>
      </c>
      <c r="J219" t="s">
        <v>42</v>
      </c>
    </row>
    <row r="220" spans="1:10" x14ac:dyDescent="0.25">
      <c r="A220" t="s">
        <v>396</v>
      </c>
      <c r="C220" s="286">
        <v>41998.677442129629</v>
      </c>
      <c r="D220" t="s">
        <v>382</v>
      </c>
      <c r="E220">
        <v>0</v>
      </c>
      <c r="F220" s="287"/>
      <c r="G220" s="287"/>
      <c r="H220" s="287"/>
      <c r="I220" t="s">
        <v>382</v>
      </c>
      <c r="J220" t="s">
        <v>42</v>
      </c>
    </row>
    <row r="221" spans="1:10" x14ac:dyDescent="0.25">
      <c r="A221" t="s">
        <v>396</v>
      </c>
      <c r="C221" s="286">
        <v>42000.689884259256</v>
      </c>
      <c r="D221" t="s">
        <v>382</v>
      </c>
      <c r="E221">
        <v>0</v>
      </c>
      <c r="F221" s="287"/>
      <c r="G221" s="287"/>
      <c r="H221" s="287"/>
      <c r="I221" t="s">
        <v>382</v>
      </c>
      <c r="J221" t="s">
        <v>42</v>
      </c>
    </row>
    <row r="222" spans="1:10" x14ac:dyDescent="0.25">
      <c r="A222" t="s">
        <v>400</v>
      </c>
      <c r="C222" s="286">
        <v>42000.754953703705</v>
      </c>
      <c r="D222" t="s">
        <v>382</v>
      </c>
      <c r="E222">
        <v>0</v>
      </c>
      <c r="F222" s="287"/>
      <c r="G222" s="287"/>
      <c r="H222" s="287"/>
      <c r="I222" t="s">
        <v>382</v>
      </c>
      <c r="J222" t="s">
        <v>42</v>
      </c>
    </row>
    <row r="223" spans="1:10" x14ac:dyDescent="0.25">
      <c r="A223" t="s">
        <v>397</v>
      </c>
      <c r="C223" s="286">
        <v>42002.671631944446</v>
      </c>
      <c r="D223" t="s">
        <v>382</v>
      </c>
      <c r="E223">
        <v>0</v>
      </c>
      <c r="F223" s="287"/>
      <c r="G223" s="287"/>
      <c r="H223" s="287"/>
      <c r="I223" t="s">
        <v>382</v>
      </c>
      <c r="J223" t="s">
        <v>42</v>
      </c>
    </row>
    <row r="224" spans="1:10" x14ac:dyDescent="0.25">
      <c r="A224" t="s">
        <v>401</v>
      </c>
      <c r="C224" s="286">
        <v>42004.554525462961</v>
      </c>
      <c r="D224" t="s">
        <v>382</v>
      </c>
      <c r="E224">
        <v>0</v>
      </c>
      <c r="F224" s="287"/>
      <c r="G224" s="287"/>
      <c r="H224" s="287"/>
      <c r="I224" t="s">
        <v>382</v>
      </c>
      <c r="J224" t="s">
        <v>42</v>
      </c>
    </row>
    <row r="225" spans="1:10" x14ac:dyDescent="0.25">
      <c r="A225" t="s">
        <v>402</v>
      </c>
      <c r="C225" s="286">
        <v>42004.604189814818</v>
      </c>
      <c r="D225" t="s">
        <v>382</v>
      </c>
      <c r="E225">
        <v>0</v>
      </c>
      <c r="F225" s="287"/>
      <c r="G225" s="287"/>
      <c r="H225" s="287"/>
      <c r="I225" t="s">
        <v>382</v>
      </c>
      <c r="J225" t="s">
        <v>42</v>
      </c>
    </row>
    <row r="226" spans="1:10" x14ac:dyDescent="0.25">
      <c r="A226" t="s">
        <v>397</v>
      </c>
      <c r="C226" s="286">
        <v>42004.642962962964</v>
      </c>
      <c r="D226" t="s">
        <v>382</v>
      </c>
      <c r="E226">
        <v>0</v>
      </c>
      <c r="F226" s="287"/>
      <c r="G226" s="287"/>
      <c r="H226" s="287"/>
      <c r="I226" t="s">
        <v>382</v>
      </c>
      <c r="J226" t="s">
        <v>42</v>
      </c>
    </row>
    <row r="227" spans="1:10" x14ac:dyDescent="0.25">
      <c r="A227" t="s">
        <v>390</v>
      </c>
      <c r="C227" s="286">
        <v>42005.094004629631</v>
      </c>
      <c r="D227" t="s">
        <v>382</v>
      </c>
      <c r="E227">
        <v>0</v>
      </c>
      <c r="F227" s="287"/>
      <c r="G227" s="287"/>
      <c r="H227" s="287"/>
      <c r="I227" t="s">
        <v>382</v>
      </c>
      <c r="J227" t="s">
        <v>42</v>
      </c>
    </row>
    <row r="228" spans="1:10" x14ac:dyDescent="0.25">
      <c r="A228" t="s">
        <v>397</v>
      </c>
      <c r="C228" s="286">
        <v>42006.713356481479</v>
      </c>
      <c r="D228" t="s">
        <v>382</v>
      </c>
      <c r="E228">
        <v>0</v>
      </c>
      <c r="F228" s="287"/>
      <c r="G228" s="287"/>
      <c r="H228" s="287"/>
      <c r="I228" t="s">
        <v>382</v>
      </c>
      <c r="J228" t="s">
        <v>42</v>
      </c>
    </row>
    <row r="229" spans="1:10" x14ac:dyDescent="0.25">
      <c r="A229" t="s">
        <v>397</v>
      </c>
      <c r="C229" s="286">
        <v>42008.666770833333</v>
      </c>
      <c r="D229" t="s">
        <v>382</v>
      </c>
      <c r="E229">
        <v>0</v>
      </c>
      <c r="F229" s="287"/>
      <c r="G229" s="287"/>
      <c r="H229" s="287"/>
      <c r="I229" t="s">
        <v>382</v>
      </c>
      <c r="J229" t="s">
        <v>42</v>
      </c>
    </row>
    <row r="230" spans="1:10" x14ac:dyDescent="0.25">
      <c r="A230" t="s">
        <v>403</v>
      </c>
      <c r="C230" s="286">
        <v>42009.975231481483</v>
      </c>
      <c r="D230" t="s">
        <v>382</v>
      </c>
      <c r="E230">
        <v>0</v>
      </c>
      <c r="F230" s="287"/>
      <c r="G230" s="287"/>
      <c r="H230" s="287"/>
      <c r="I230" t="s">
        <v>382</v>
      </c>
      <c r="J230" t="s">
        <v>42</v>
      </c>
    </row>
    <row r="231" spans="1:10" x14ac:dyDescent="0.25">
      <c r="A231" t="s">
        <v>390</v>
      </c>
      <c r="C231" s="286">
        <v>42010.527939814812</v>
      </c>
      <c r="D231" t="s">
        <v>382</v>
      </c>
      <c r="E231">
        <v>0</v>
      </c>
      <c r="F231" s="287"/>
      <c r="G231" s="287"/>
      <c r="H231" s="287"/>
      <c r="I231" t="s">
        <v>382</v>
      </c>
      <c r="J231" t="s">
        <v>42</v>
      </c>
    </row>
    <row r="232" spans="1:10" x14ac:dyDescent="0.25">
      <c r="A232" t="s">
        <v>397</v>
      </c>
      <c r="C232" s="286">
        <v>42010.684560185182</v>
      </c>
      <c r="D232" t="s">
        <v>382</v>
      </c>
      <c r="E232">
        <v>0</v>
      </c>
      <c r="F232" s="287"/>
      <c r="G232" s="287"/>
      <c r="H232" s="287"/>
      <c r="I232" t="s">
        <v>382</v>
      </c>
      <c r="J232" t="s">
        <v>42</v>
      </c>
    </row>
    <row r="233" spans="1:10" x14ac:dyDescent="0.25">
      <c r="A233" t="s">
        <v>390</v>
      </c>
      <c r="C233" s="286">
        <v>42011.747002314813</v>
      </c>
      <c r="D233" t="s">
        <v>382</v>
      </c>
      <c r="E233">
        <v>0</v>
      </c>
      <c r="F233" s="287"/>
      <c r="G233" s="287"/>
      <c r="H233" s="287"/>
      <c r="I233" t="s">
        <v>382</v>
      </c>
      <c r="J233" t="s">
        <v>42</v>
      </c>
    </row>
    <row r="234" spans="1:10" x14ac:dyDescent="0.25">
      <c r="A234" t="s">
        <v>396</v>
      </c>
      <c r="C234" s="286">
        <v>42012.714803240742</v>
      </c>
      <c r="D234" t="s">
        <v>382</v>
      </c>
      <c r="E234">
        <v>0</v>
      </c>
      <c r="F234" s="287"/>
      <c r="G234" s="287"/>
      <c r="H234" s="287"/>
      <c r="I234" t="s">
        <v>382</v>
      </c>
      <c r="J234" t="s">
        <v>42</v>
      </c>
    </row>
    <row r="235" spans="1:10" x14ac:dyDescent="0.25">
      <c r="A235" t="s">
        <v>397</v>
      </c>
      <c r="C235" s="286">
        <v>42014.664363425924</v>
      </c>
      <c r="D235" t="s">
        <v>382</v>
      </c>
      <c r="E235">
        <v>0</v>
      </c>
      <c r="F235" s="287"/>
      <c r="G235" s="287"/>
      <c r="H235" s="287"/>
      <c r="I235" t="s">
        <v>382</v>
      </c>
      <c r="J235" t="s">
        <v>42</v>
      </c>
    </row>
    <row r="236" spans="1:10" x14ac:dyDescent="0.25">
      <c r="A236" t="s">
        <v>396</v>
      </c>
      <c r="C236" s="286">
        <v>42016.6799537037</v>
      </c>
      <c r="D236" t="s">
        <v>382</v>
      </c>
      <c r="E236">
        <v>0</v>
      </c>
      <c r="F236" s="287"/>
      <c r="G236" s="287"/>
      <c r="H236" s="287"/>
      <c r="I236" t="s">
        <v>382</v>
      </c>
      <c r="J236" t="s">
        <v>42</v>
      </c>
    </row>
    <row r="237" spans="1:10" x14ac:dyDescent="0.25">
      <c r="A237" t="s">
        <v>390</v>
      </c>
      <c r="C237" s="286">
        <v>42016.827488425923</v>
      </c>
      <c r="D237" t="s">
        <v>382</v>
      </c>
      <c r="E237">
        <v>0</v>
      </c>
      <c r="F237" s="287"/>
      <c r="G237" s="287"/>
      <c r="H237" s="287"/>
      <c r="I237" t="s">
        <v>382</v>
      </c>
      <c r="J237" t="s">
        <v>42</v>
      </c>
    </row>
    <row r="238" spans="1:10" x14ac:dyDescent="0.25">
      <c r="A238" t="s">
        <v>396</v>
      </c>
      <c r="C238" s="286">
        <v>42018.677511574075</v>
      </c>
      <c r="D238" t="s">
        <v>382</v>
      </c>
      <c r="E238">
        <v>0</v>
      </c>
      <c r="F238" s="287"/>
      <c r="G238" s="287"/>
      <c r="H238" s="287"/>
      <c r="I238" t="s">
        <v>382</v>
      </c>
      <c r="J238" t="s">
        <v>42</v>
      </c>
    </row>
    <row r="239" spans="1:10" x14ac:dyDescent="0.25">
      <c r="A239" t="s">
        <v>390</v>
      </c>
      <c r="C239" s="286">
        <v>42019.154918981483</v>
      </c>
      <c r="D239" t="s">
        <v>382</v>
      </c>
      <c r="E239">
        <v>0</v>
      </c>
      <c r="F239" s="287"/>
      <c r="G239" s="287"/>
      <c r="H239" s="287"/>
      <c r="I239" t="s">
        <v>382</v>
      </c>
      <c r="J239" t="s">
        <v>42</v>
      </c>
    </row>
    <row r="240" spans="1:10" x14ac:dyDescent="0.25">
      <c r="A240" t="s">
        <v>396</v>
      </c>
      <c r="C240" s="286">
        <v>42020.347546296296</v>
      </c>
      <c r="D240" t="s">
        <v>382</v>
      </c>
      <c r="E240">
        <v>0</v>
      </c>
      <c r="F240" s="287"/>
      <c r="G240" s="287"/>
      <c r="H240" s="287"/>
      <c r="I240" t="s">
        <v>382</v>
      </c>
      <c r="J240" t="s">
        <v>42</v>
      </c>
    </row>
    <row r="241" spans="1:10" x14ac:dyDescent="0.25">
      <c r="A241" t="s">
        <v>396</v>
      </c>
      <c r="C241" s="286">
        <v>42020.668344907404</v>
      </c>
      <c r="D241" t="s">
        <v>382</v>
      </c>
      <c r="E241">
        <v>0</v>
      </c>
      <c r="F241" s="287"/>
      <c r="G241" s="287"/>
      <c r="H241" s="287"/>
      <c r="I241" t="s">
        <v>382</v>
      </c>
      <c r="J241" t="s">
        <v>42</v>
      </c>
    </row>
    <row r="242" spans="1:10" x14ac:dyDescent="0.25">
      <c r="A242" t="s">
        <v>397</v>
      </c>
      <c r="C242" s="286">
        <v>42022.797199074077</v>
      </c>
      <c r="D242" t="s">
        <v>382</v>
      </c>
      <c r="E242">
        <v>0</v>
      </c>
      <c r="F242" s="287"/>
      <c r="G242" s="287"/>
      <c r="H242" s="287"/>
      <c r="I242" t="s">
        <v>382</v>
      </c>
      <c r="J242" t="s">
        <v>42</v>
      </c>
    </row>
    <row r="243" spans="1:10" x14ac:dyDescent="0.25">
      <c r="A243" t="s">
        <v>390</v>
      </c>
      <c r="C243" s="286">
        <v>42023.081736111111</v>
      </c>
      <c r="D243" t="s">
        <v>382</v>
      </c>
      <c r="E243">
        <v>0</v>
      </c>
      <c r="F243" s="287"/>
      <c r="G243" s="287"/>
      <c r="H243" s="287"/>
      <c r="I243" t="s">
        <v>382</v>
      </c>
      <c r="J243" t="s">
        <v>42</v>
      </c>
    </row>
    <row r="244" spans="1:10" x14ac:dyDescent="0.25">
      <c r="A244" t="s">
        <v>397</v>
      </c>
      <c r="C244" s="286">
        <v>42024.826793981483</v>
      </c>
      <c r="D244" t="s">
        <v>382</v>
      </c>
      <c r="E244">
        <v>0</v>
      </c>
      <c r="F244" s="287"/>
      <c r="G244" s="287"/>
      <c r="H244" s="287"/>
      <c r="I244" t="s">
        <v>382</v>
      </c>
      <c r="J244" t="s">
        <v>42</v>
      </c>
    </row>
    <row r="245" spans="1:10" x14ac:dyDescent="0.25">
      <c r="A245" t="s">
        <v>390</v>
      </c>
      <c r="C245" s="286">
        <v>42026.245208333334</v>
      </c>
      <c r="D245" t="s">
        <v>382</v>
      </c>
      <c r="E245">
        <v>0</v>
      </c>
      <c r="F245" s="287"/>
      <c r="G245" s="287"/>
      <c r="H245" s="287"/>
      <c r="I245" t="s">
        <v>382</v>
      </c>
      <c r="J245" t="s">
        <v>42</v>
      </c>
    </row>
    <row r="246" spans="1:10" x14ac:dyDescent="0.25">
      <c r="A246" t="s">
        <v>396</v>
      </c>
      <c r="C246" s="286">
        <v>42026.839166666665</v>
      </c>
      <c r="D246" t="s">
        <v>382</v>
      </c>
      <c r="E246">
        <v>0</v>
      </c>
      <c r="F246" s="287"/>
      <c r="G246" s="287"/>
      <c r="H246" s="287"/>
      <c r="I246" t="s">
        <v>382</v>
      </c>
      <c r="J246" t="s">
        <v>42</v>
      </c>
    </row>
    <row r="247" spans="1:10" x14ac:dyDescent="0.25">
      <c r="A247" t="s">
        <v>397</v>
      </c>
      <c r="C247" s="286">
        <v>42028.778495370374</v>
      </c>
      <c r="D247" t="s">
        <v>382</v>
      </c>
      <c r="E247">
        <v>0</v>
      </c>
      <c r="F247" s="287"/>
      <c r="G247" s="287"/>
      <c r="H247" s="287"/>
      <c r="I247" t="s">
        <v>382</v>
      </c>
      <c r="J247" t="s">
        <v>42</v>
      </c>
    </row>
    <row r="248" spans="1:10" x14ac:dyDescent="0.25">
      <c r="A248" t="s">
        <v>397</v>
      </c>
      <c r="C248" s="286">
        <v>42030.808032407411</v>
      </c>
      <c r="D248" t="s">
        <v>382</v>
      </c>
      <c r="E248">
        <v>0</v>
      </c>
      <c r="F248" s="287"/>
      <c r="G248" s="287"/>
      <c r="H248" s="287"/>
      <c r="I248" t="s">
        <v>382</v>
      </c>
      <c r="J248" t="s">
        <v>42</v>
      </c>
    </row>
    <row r="249" spans="1:10" x14ac:dyDescent="0.25">
      <c r="A249" t="s">
        <v>397</v>
      </c>
      <c r="C249" s="286">
        <v>42032.808680555558</v>
      </c>
      <c r="D249" t="s">
        <v>382</v>
      </c>
      <c r="E249">
        <v>0</v>
      </c>
      <c r="F249" s="287"/>
      <c r="G249" s="287"/>
      <c r="H249" s="287"/>
      <c r="I249" t="s">
        <v>382</v>
      </c>
      <c r="J249" t="s">
        <v>42</v>
      </c>
    </row>
    <row r="250" spans="1:10" x14ac:dyDescent="0.25">
      <c r="A250" t="s">
        <v>390</v>
      </c>
      <c r="C250" s="286">
        <v>42033.126840277779</v>
      </c>
      <c r="D250" t="s">
        <v>382</v>
      </c>
      <c r="E250">
        <v>0</v>
      </c>
      <c r="F250" s="287"/>
      <c r="G250" s="287"/>
      <c r="H250" s="287"/>
      <c r="I250" t="s">
        <v>382</v>
      </c>
      <c r="J250" t="s">
        <v>42</v>
      </c>
    </row>
    <row r="251" spans="1:10" x14ac:dyDescent="0.25">
      <c r="A251" t="s">
        <v>397</v>
      </c>
      <c r="C251" s="286">
        <v>42034.797835648147</v>
      </c>
      <c r="D251" t="s">
        <v>382</v>
      </c>
      <c r="E251">
        <v>0</v>
      </c>
      <c r="F251" s="287"/>
      <c r="G251" s="287"/>
      <c r="H251" s="287"/>
      <c r="I251" t="s">
        <v>382</v>
      </c>
      <c r="J251" t="s">
        <v>42</v>
      </c>
    </row>
    <row r="252" spans="1:10" x14ac:dyDescent="0.25">
      <c r="A252" t="s">
        <v>394</v>
      </c>
      <c r="C252" s="286">
        <v>42036.227037037039</v>
      </c>
      <c r="D252" t="s">
        <v>382</v>
      </c>
      <c r="E252">
        <v>0</v>
      </c>
      <c r="F252" s="287"/>
      <c r="G252" s="287"/>
      <c r="H252" s="287"/>
      <c r="I252" t="s">
        <v>382</v>
      </c>
      <c r="J252" t="s">
        <v>42</v>
      </c>
    </row>
    <row r="253" spans="1:10" x14ac:dyDescent="0.25">
      <c r="A253" t="s">
        <v>397</v>
      </c>
      <c r="C253" s="286">
        <v>42036.810914351852</v>
      </c>
      <c r="D253" t="s">
        <v>382</v>
      </c>
      <c r="E253">
        <v>0</v>
      </c>
      <c r="F253" s="287"/>
      <c r="G253" s="287"/>
      <c r="H253" s="287"/>
      <c r="I253" t="s">
        <v>382</v>
      </c>
      <c r="J253" t="s">
        <v>42</v>
      </c>
    </row>
    <row r="254" spans="1:10" x14ac:dyDescent="0.25">
      <c r="A254" t="s">
        <v>397</v>
      </c>
      <c r="C254" s="286">
        <v>42038.830358796295</v>
      </c>
      <c r="D254" t="s">
        <v>382</v>
      </c>
      <c r="E254">
        <v>0</v>
      </c>
      <c r="F254" s="287"/>
      <c r="G254" s="287"/>
      <c r="H254" s="287"/>
      <c r="I254" t="s">
        <v>382</v>
      </c>
      <c r="J254" t="s">
        <v>42</v>
      </c>
    </row>
    <row r="255" spans="1:10" x14ac:dyDescent="0.25">
      <c r="A255" t="s">
        <v>390</v>
      </c>
      <c r="C255" s="286">
        <v>42040.202638888892</v>
      </c>
      <c r="D255" t="s">
        <v>382</v>
      </c>
      <c r="E255">
        <v>0</v>
      </c>
      <c r="F255" s="287"/>
      <c r="G255" s="287"/>
      <c r="H255" s="287"/>
      <c r="I255" t="s">
        <v>382</v>
      </c>
      <c r="J255" t="s">
        <v>42</v>
      </c>
    </row>
    <row r="256" spans="1:10" x14ac:dyDescent="0.25">
      <c r="A256" t="s">
        <v>397</v>
      </c>
      <c r="C256" s="286">
        <v>42040.800127314818</v>
      </c>
      <c r="D256" t="s">
        <v>382</v>
      </c>
      <c r="E256">
        <v>0</v>
      </c>
      <c r="F256" s="287"/>
      <c r="G256" s="287"/>
      <c r="H256" s="287"/>
      <c r="I256" t="s">
        <v>382</v>
      </c>
      <c r="J256" t="s">
        <v>42</v>
      </c>
    </row>
    <row r="257" spans="1:10" x14ac:dyDescent="0.25">
      <c r="A257" t="s">
        <v>397</v>
      </c>
      <c r="C257" s="286">
        <v>42042.827719907407</v>
      </c>
      <c r="D257" t="s">
        <v>382</v>
      </c>
      <c r="E257">
        <v>0</v>
      </c>
      <c r="F257" s="287"/>
      <c r="G257" s="287"/>
      <c r="H257" s="287"/>
      <c r="I257" t="s">
        <v>382</v>
      </c>
      <c r="J257" t="s">
        <v>42</v>
      </c>
    </row>
    <row r="258" spans="1:10" x14ac:dyDescent="0.25">
      <c r="A258" t="s">
        <v>397</v>
      </c>
      <c r="C258" s="286">
        <v>42044.922569444447</v>
      </c>
      <c r="D258" t="s">
        <v>382</v>
      </c>
      <c r="E258">
        <v>0</v>
      </c>
      <c r="F258" s="287"/>
      <c r="G258" s="287"/>
      <c r="H258" s="287"/>
      <c r="I258" t="s">
        <v>382</v>
      </c>
      <c r="J258" t="s">
        <v>42</v>
      </c>
    </row>
    <row r="259" spans="1:10" x14ac:dyDescent="0.25">
      <c r="A259" t="s">
        <v>390</v>
      </c>
      <c r="C259" s="286">
        <v>42046.774143518516</v>
      </c>
      <c r="D259" t="s">
        <v>382</v>
      </c>
      <c r="E259">
        <v>0</v>
      </c>
      <c r="F259" s="287"/>
      <c r="G259" s="287"/>
      <c r="H259" s="287"/>
      <c r="I259" t="s">
        <v>382</v>
      </c>
      <c r="J259" t="s">
        <v>42</v>
      </c>
    </row>
    <row r="260" spans="1:10" x14ac:dyDescent="0.25">
      <c r="A260" t="s">
        <v>396</v>
      </c>
      <c r="C260" s="286">
        <v>42046.859085648146</v>
      </c>
      <c r="D260" t="s">
        <v>382</v>
      </c>
      <c r="E260">
        <v>0</v>
      </c>
      <c r="F260" s="287"/>
      <c r="G260" s="287"/>
      <c r="H260" s="287"/>
      <c r="I260" t="s">
        <v>382</v>
      </c>
      <c r="J260" t="s">
        <v>42</v>
      </c>
    </row>
    <row r="261" spans="1:10" x14ac:dyDescent="0.25">
      <c r="A261" t="s">
        <v>396</v>
      </c>
      <c r="C261" s="286">
        <v>42048.821388888886</v>
      </c>
      <c r="D261" t="s">
        <v>382</v>
      </c>
      <c r="E261">
        <v>0</v>
      </c>
      <c r="F261" s="287"/>
      <c r="G261" s="287"/>
      <c r="H261" s="287"/>
      <c r="I261" t="s">
        <v>382</v>
      </c>
      <c r="J261" t="s">
        <v>42</v>
      </c>
    </row>
    <row r="262" spans="1:10" x14ac:dyDescent="0.25">
      <c r="A262" t="s">
        <v>394</v>
      </c>
      <c r="C262" s="286">
        <v>42050.209398148145</v>
      </c>
      <c r="D262" t="s">
        <v>382</v>
      </c>
      <c r="E262">
        <v>0</v>
      </c>
      <c r="F262" s="287"/>
      <c r="G262" s="287"/>
      <c r="H262" s="287"/>
      <c r="I262" t="s">
        <v>382</v>
      </c>
      <c r="J262" t="s">
        <v>42</v>
      </c>
    </row>
    <row r="263" spans="1:10" x14ac:dyDescent="0.25">
      <c r="A263" t="s">
        <v>396</v>
      </c>
      <c r="C263" s="286">
        <v>42050.807766203703</v>
      </c>
      <c r="D263" t="s">
        <v>382</v>
      </c>
      <c r="E263">
        <v>0</v>
      </c>
      <c r="F263" s="287"/>
      <c r="G263" s="287"/>
      <c r="H263" s="287"/>
      <c r="I263" t="s">
        <v>382</v>
      </c>
      <c r="J263" t="s">
        <v>42</v>
      </c>
    </row>
    <row r="264" spans="1:10" x14ac:dyDescent="0.25">
      <c r="A264" t="s">
        <v>397</v>
      </c>
      <c r="C264" s="286">
        <v>42052.838784722226</v>
      </c>
      <c r="D264" t="s">
        <v>382</v>
      </c>
      <c r="E264">
        <v>0</v>
      </c>
      <c r="F264" s="287"/>
      <c r="G264" s="287"/>
      <c r="H264" s="287"/>
      <c r="I264" t="s">
        <v>382</v>
      </c>
      <c r="J264" t="s">
        <v>42</v>
      </c>
    </row>
    <row r="265" spans="1:10" x14ac:dyDescent="0.25">
      <c r="A265" t="s">
        <v>390</v>
      </c>
      <c r="C265" s="286">
        <v>42054.251782407409</v>
      </c>
      <c r="D265" t="s">
        <v>382</v>
      </c>
      <c r="E265">
        <v>0</v>
      </c>
      <c r="F265" s="287"/>
      <c r="G265" s="287"/>
      <c r="H265" s="287"/>
      <c r="I265" t="s">
        <v>382</v>
      </c>
      <c r="J265" t="s">
        <v>42</v>
      </c>
    </row>
    <row r="266" spans="1:10" x14ac:dyDescent="0.25">
      <c r="A266" t="s">
        <v>397</v>
      </c>
      <c r="C266" s="286">
        <v>42054.827187499999</v>
      </c>
      <c r="D266" t="s">
        <v>382</v>
      </c>
      <c r="E266">
        <v>0</v>
      </c>
      <c r="F266" s="287"/>
      <c r="G266" s="287"/>
      <c r="H266" s="287"/>
      <c r="I266" t="s">
        <v>382</v>
      </c>
      <c r="J266" t="s">
        <v>42</v>
      </c>
    </row>
    <row r="267" spans="1:10" x14ac:dyDescent="0.25">
      <c r="A267" t="s">
        <v>397</v>
      </c>
      <c r="C267" s="286">
        <v>42056.789918981478</v>
      </c>
      <c r="D267" t="s">
        <v>382</v>
      </c>
      <c r="E267">
        <v>0</v>
      </c>
      <c r="F267" s="287"/>
      <c r="G267" s="287"/>
      <c r="H267" s="287"/>
      <c r="I267" t="s">
        <v>382</v>
      </c>
      <c r="J267" t="s">
        <v>42</v>
      </c>
    </row>
    <row r="268" spans="1:10" x14ac:dyDescent="0.25">
      <c r="A268" t="s">
        <v>397</v>
      </c>
      <c r="C268" s="286">
        <v>42058.800196759257</v>
      </c>
      <c r="D268" t="s">
        <v>382</v>
      </c>
      <c r="E268">
        <v>0</v>
      </c>
      <c r="F268" s="287"/>
      <c r="G268" s="287"/>
      <c r="H268" s="287"/>
      <c r="I268" t="s">
        <v>382</v>
      </c>
      <c r="J268" t="s">
        <v>42</v>
      </c>
    </row>
    <row r="269" spans="1:10" x14ac:dyDescent="0.25">
      <c r="A269" t="s">
        <v>390</v>
      </c>
      <c r="C269" s="286">
        <v>42059.634652777779</v>
      </c>
      <c r="D269" t="s">
        <v>382</v>
      </c>
      <c r="E269">
        <v>0</v>
      </c>
      <c r="F269" s="287"/>
      <c r="G269" s="287"/>
      <c r="H269" s="287"/>
      <c r="I269" t="s">
        <v>382</v>
      </c>
      <c r="J269" t="s">
        <v>42</v>
      </c>
    </row>
    <row r="270" spans="1:10" x14ac:dyDescent="0.25">
      <c r="A270" t="s">
        <v>390</v>
      </c>
      <c r="C270" s="286">
        <v>42060.763865740744</v>
      </c>
      <c r="D270" t="s">
        <v>382</v>
      </c>
      <c r="E270">
        <v>0</v>
      </c>
      <c r="F270" s="287"/>
      <c r="G270" s="287"/>
      <c r="H270" s="287"/>
      <c r="I270" t="s">
        <v>382</v>
      </c>
      <c r="J270" t="s">
        <v>42</v>
      </c>
    </row>
    <row r="271" spans="1:10" x14ac:dyDescent="0.25">
      <c r="A271" t="s">
        <v>397</v>
      </c>
      <c r="C271" s="286">
        <v>42060.801655092589</v>
      </c>
      <c r="D271" t="s">
        <v>382</v>
      </c>
      <c r="E271">
        <v>0</v>
      </c>
      <c r="F271" s="287"/>
      <c r="G271" s="287"/>
      <c r="H271" s="287"/>
      <c r="I271" t="s">
        <v>382</v>
      </c>
      <c r="J271" t="s">
        <v>42</v>
      </c>
    </row>
    <row r="272" spans="1:10" x14ac:dyDescent="0.25">
      <c r="A272" t="s">
        <v>397</v>
      </c>
      <c r="C272" s="286">
        <v>42062.833113425928</v>
      </c>
      <c r="D272" t="s">
        <v>382</v>
      </c>
      <c r="E272">
        <v>0</v>
      </c>
      <c r="F272" s="287"/>
      <c r="G272" s="287"/>
      <c r="H272" s="287"/>
      <c r="I272" t="s">
        <v>382</v>
      </c>
      <c r="J272" t="s">
        <v>42</v>
      </c>
    </row>
    <row r="273" spans="1:10" x14ac:dyDescent="0.25">
      <c r="A273" t="s">
        <v>397</v>
      </c>
      <c r="C273" s="286">
        <v>42064.835300925923</v>
      </c>
      <c r="D273" t="s">
        <v>382</v>
      </c>
      <c r="E273">
        <v>0</v>
      </c>
      <c r="F273" s="287"/>
      <c r="G273" s="287"/>
      <c r="H273" s="287"/>
      <c r="I273" t="s">
        <v>382</v>
      </c>
      <c r="J273" t="s">
        <v>42</v>
      </c>
    </row>
    <row r="274" spans="1:10" x14ac:dyDescent="0.25">
      <c r="A274" t="s">
        <v>396</v>
      </c>
      <c r="C274" s="286">
        <v>42064.888692129629</v>
      </c>
      <c r="D274" t="s">
        <v>382</v>
      </c>
      <c r="E274">
        <v>0</v>
      </c>
      <c r="F274" s="287"/>
      <c r="G274" s="287"/>
      <c r="H274" s="287"/>
      <c r="I274" t="s">
        <v>382</v>
      </c>
      <c r="J274" t="s">
        <v>42</v>
      </c>
    </row>
    <row r="275" spans="1:10" x14ac:dyDescent="0.25">
      <c r="A275" t="s">
        <v>397</v>
      </c>
      <c r="C275" s="286">
        <v>42066.814282407409</v>
      </c>
      <c r="D275" t="s">
        <v>382</v>
      </c>
      <c r="E275">
        <v>0</v>
      </c>
      <c r="F275" s="287"/>
      <c r="G275" s="287"/>
      <c r="H275" s="287"/>
      <c r="I275" t="s">
        <v>382</v>
      </c>
      <c r="J275" t="s">
        <v>42</v>
      </c>
    </row>
    <row r="276" spans="1:10" x14ac:dyDescent="0.25">
      <c r="A276" t="s">
        <v>390</v>
      </c>
      <c r="C276" s="286">
        <v>42067.039733796293</v>
      </c>
      <c r="D276" t="s">
        <v>382</v>
      </c>
      <c r="E276">
        <v>0</v>
      </c>
      <c r="F276" s="287"/>
      <c r="G276" s="287"/>
      <c r="H276" s="287"/>
      <c r="I276" t="s">
        <v>382</v>
      </c>
      <c r="J276" t="s">
        <v>42</v>
      </c>
    </row>
    <row r="277" spans="1:10" x14ac:dyDescent="0.25">
      <c r="A277" t="s">
        <v>390</v>
      </c>
      <c r="C277" s="286">
        <v>42067.76771990741</v>
      </c>
      <c r="D277" t="s">
        <v>382</v>
      </c>
      <c r="E277">
        <v>0</v>
      </c>
      <c r="F277" s="287"/>
      <c r="G277" s="287"/>
      <c r="H277" s="287"/>
      <c r="I277" t="s">
        <v>382</v>
      </c>
      <c r="J277" t="s">
        <v>42</v>
      </c>
    </row>
    <row r="278" spans="1:10" x14ac:dyDescent="0.25">
      <c r="A278" t="s">
        <v>397</v>
      </c>
      <c r="C278" s="286">
        <v>42068.78875</v>
      </c>
      <c r="D278" t="s">
        <v>382</v>
      </c>
      <c r="E278">
        <v>0</v>
      </c>
      <c r="F278" s="287"/>
      <c r="G278" s="287"/>
      <c r="H278" s="287"/>
      <c r="I278" t="s">
        <v>382</v>
      </c>
      <c r="J278" t="s">
        <v>42</v>
      </c>
    </row>
    <row r="279" spans="1:10" x14ac:dyDescent="0.25">
      <c r="A279" t="s">
        <v>397</v>
      </c>
      <c r="C279" s="286">
        <v>42070.786203703705</v>
      </c>
      <c r="D279" t="s">
        <v>382</v>
      </c>
      <c r="E279">
        <v>0</v>
      </c>
      <c r="F279" s="287"/>
      <c r="G279" s="287"/>
      <c r="H279" s="287"/>
      <c r="I279" t="s">
        <v>382</v>
      </c>
      <c r="J279" t="s">
        <v>42</v>
      </c>
    </row>
    <row r="280" spans="1:10" x14ac:dyDescent="0.25">
      <c r="A280" t="s">
        <v>394</v>
      </c>
      <c r="C280" s="286">
        <v>42071.264340277776</v>
      </c>
      <c r="D280" t="s">
        <v>382</v>
      </c>
      <c r="E280">
        <v>0</v>
      </c>
      <c r="F280" s="287"/>
      <c r="G280" s="287"/>
      <c r="H280" s="287"/>
      <c r="I280" t="s">
        <v>382</v>
      </c>
      <c r="J280" t="s">
        <v>42</v>
      </c>
    </row>
    <row r="281" spans="1:10" x14ac:dyDescent="0.25">
      <c r="A281" t="s">
        <v>390</v>
      </c>
      <c r="C281" s="286">
        <v>42072.623854166668</v>
      </c>
      <c r="D281" t="s">
        <v>382</v>
      </c>
      <c r="E281">
        <v>0</v>
      </c>
      <c r="F281" s="287"/>
      <c r="G281" s="287"/>
      <c r="H281" s="287"/>
      <c r="I281" t="s">
        <v>382</v>
      </c>
      <c r="J281" t="s">
        <v>42</v>
      </c>
    </row>
    <row r="282" spans="1:10" x14ac:dyDescent="0.25">
      <c r="A282" t="s">
        <v>397</v>
      </c>
      <c r="C282" s="286">
        <v>42072.761284722219</v>
      </c>
      <c r="D282" t="s">
        <v>382</v>
      </c>
      <c r="E282">
        <v>0</v>
      </c>
      <c r="F282" s="287"/>
      <c r="G282" s="287"/>
      <c r="H282" s="287"/>
      <c r="I282" t="s">
        <v>382</v>
      </c>
      <c r="J282" t="s">
        <v>42</v>
      </c>
    </row>
    <row r="283" spans="1:10" x14ac:dyDescent="0.25">
      <c r="A283" t="s">
        <v>397</v>
      </c>
      <c r="C283" s="286">
        <v>42074.78328703704</v>
      </c>
      <c r="D283" t="s">
        <v>382</v>
      </c>
      <c r="E283">
        <v>0</v>
      </c>
      <c r="F283" s="287"/>
      <c r="G283" s="287"/>
      <c r="H283" s="287"/>
      <c r="I283" t="s">
        <v>382</v>
      </c>
      <c r="J283" t="s">
        <v>42</v>
      </c>
    </row>
    <row r="284" spans="1:10" x14ac:dyDescent="0.25">
      <c r="A284" t="s">
        <v>390</v>
      </c>
      <c r="C284" s="286">
        <v>42074.886608796296</v>
      </c>
      <c r="D284" t="s">
        <v>382</v>
      </c>
      <c r="E284">
        <v>0</v>
      </c>
      <c r="F284" s="287"/>
      <c r="G284" s="287"/>
      <c r="H284" s="287"/>
      <c r="I284" t="s">
        <v>382</v>
      </c>
      <c r="J284" t="s">
        <v>42</v>
      </c>
    </row>
    <row r="285" spans="1:10" x14ac:dyDescent="0.25">
      <c r="A285" t="s">
        <v>396</v>
      </c>
      <c r="C285" s="286">
        <v>42076.768310185187</v>
      </c>
      <c r="D285" t="s">
        <v>382</v>
      </c>
      <c r="E285">
        <v>0</v>
      </c>
      <c r="F285" s="287"/>
      <c r="G285" s="287"/>
      <c r="H285" s="287"/>
      <c r="I285" t="s">
        <v>382</v>
      </c>
      <c r="J285" t="s">
        <v>42</v>
      </c>
    </row>
    <row r="286" spans="1:10" x14ac:dyDescent="0.25">
      <c r="A286" t="s">
        <v>396</v>
      </c>
      <c r="C286" s="286">
        <v>42078.794525462959</v>
      </c>
      <c r="D286" t="s">
        <v>382</v>
      </c>
      <c r="E286">
        <v>0</v>
      </c>
      <c r="F286" s="287"/>
      <c r="G286" s="287"/>
      <c r="H286" s="287"/>
      <c r="I286" t="s">
        <v>382</v>
      </c>
      <c r="J286" t="s">
        <v>42</v>
      </c>
    </row>
    <row r="287" spans="1:10" x14ac:dyDescent="0.25">
      <c r="A287" t="s">
        <v>396</v>
      </c>
      <c r="C287" s="286">
        <v>42080.751585648148</v>
      </c>
      <c r="D287" t="s">
        <v>382</v>
      </c>
      <c r="E287">
        <v>0</v>
      </c>
      <c r="F287" s="287"/>
      <c r="G287" s="287"/>
      <c r="H287" s="287"/>
      <c r="I287" t="s">
        <v>382</v>
      </c>
      <c r="J287" t="s">
        <v>42</v>
      </c>
    </row>
    <row r="288" spans="1:10" x14ac:dyDescent="0.25">
      <c r="A288" t="s">
        <v>390</v>
      </c>
      <c r="C288" s="286">
        <v>42081.893449074072</v>
      </c>
      <c r="D288" t="s">
        <v>382</v>
      </c>
      <c r="E288">
        <v>0</v>
      </c>
      <c r="F288" s="287"/>
      <c r="G288" s="287"/>
      <c r="H288" s="287"/>
      <c r="I288" t="s">
        <v>382</v>
      </c>
      <c r="J288" t="s">
        <v>42</v>
      </c>
    </row>
    <row r="289" spans="1:10" x14ac:dyDescent="0.25">
      <c r="A289" t="s">
        <v>396</v>
      </c>
      <c r="C289" s="286">
        <v>42082.757256944446</v>
      </c>
      <c r="D289" t="s">
        <v>382</v>
      </c>
      <c r="E289">
        <v>0</v>
      </c>
      <c r="F289" s="287"/>
      <c r="G289" s="287"/>
      <c r="H289" s="287"/>
      <c r="I289" t="s">
        <v>382</v>
      </c>
      <c r="J289" t="s">
        <v>42</v>
      </c>
    </row>
    <row r="290" spans="1:10" x14ac:dyDescent="0.25">
      <c r="A290" t="s">
        <v>397</v>
      </c>
      <c r="C290" s="286">
        <v>42086.778240740743</v>
      </c>
      <c r="D290" t="s">
        <v>382</v>
      </c>
      <c r="E290">
        <v>0</v>
      </c>
      <c r="F290" s="287"/>
      <c r="G290" s="287"/>
      <c r="H290" s="287"/>
      <c r="I290" t="s">
        <v>382</v>
      </c>
      <c r="J290" t="s">
        <v>42</v>
      </c>
    </row>
    <row r="291" spans="1:10" x14ac:dyDescent="0.25">
      <c r="A291" t="s">
        <v>397</v>
      </c>
      <c r="C291" s="286">
        <v>42088.787939814814</v>
      </c>
      <c r="D291" t="s">
        <v>382</v>
      </c>
      <c r="E291">
        <v>0</v>
      </c>
      <c r="F291" s="287"/>
      <c r="G291" s="287"/>
      <c r="H291" s="287"/>
      <c r="I291" t="s">
        <v>382</v>
      </c>
      <c r="J291" t="s">
        <v>42</v>
      </c>
    </row>
    <row r="292" spans="1:10" x14ac:dyDescent="0.25">
      <c r="A292" t="s">
        <v>390</v>
      </c>
      <c r="C292" s="286">
        <v>42089.249976851854</v>
      </c>
      <c r="D292" t="s">
        <v>382</v>
      </c>
      <c r="E292">
        <v>0</v>
      </c>
      <c r="F292" s="287"/>
      <c r="G292" s="287"/>
      <c r="H292" s="287"/>
      <c r="I292" t="s">
        <v>382</v>
      </c>
      <c r="J292" t="s">
        <v>42</v>
      </c>
    </row>
    <row r="293" spans="1:10" x14ac:dyDescent="0.25">
      <c r="A293" t="s">
        <v>397</v>
      </c>
      <c r="C293" s="286">
        <v>42090.790324074071</v>
      </c>
      <c r="D293" t="s">
        <v>382</v>
      </c>
      <c r="E293">
        <v>0</v>
      </c>
      <c r="F293" s="287"/>
      <c r="G293" s="287"/>
      <c r="H293" s="287"/>
      <c r="I293" t="s">
        <v>382</v>
      </c>
      <c r="J293" t="s">
        <v>42</v>
      </c>
    </row>
    <row r="294" spans="1:10" x14ac:dyDescent="0.25">
      <c r="A294" t="s">
        <v>394</v>
      </c>
      <c r="C294" s="286">
        <v>42092.488425925927</v>
      </c>
      <c r="D294" t="s">
        <v>382</v>
      </c>
      <c r="E294">
        <v>0</v>
      </c>
      <c r="F294" s="287"/>
      <c r="G294" s="287"/>
      <c r="H294" s="287"/>
      <c r="I294" t="s">
        <v>382</v>
      </c>
      <c r="J294" t="s">
        <v>42</v>
      </c>
    </row>
    <row r="295" spans="1:10" x14ac:dyDescent="0.25">
      <c r="A295" t="s">
        <v>397</v>
      </c>
      <c r="C295" s="286">
        <v>42092.820844907408</v>
      </c>
      <c r="D295" t="s">
        <v>382</v>
      </c>
      <c r="E295">
        <v>0</v>
      </c>
      <c r="F295" s="287"/>
      <c r="G295" s="287"/>
      <c r="H295" s="287"/>
      <c r="I295" t="s">
        <v>382</v>
      </c>
      <c r="J295" t="s">
        <v>42</v>
      </c>
    </row>
    <row r="296" spans="1:10" x14ac:dyDescent="0.25">
      <c r="A296" t="s">
        <v>397</v>
      </c>
      <c r="C296" s="286">
        <v>42094.839803240742</v>
      </c>
      <c r="D296" t="s">
        <v>382</v>
      </c>
      <c r="E296">
        <v>0</v>
      </c>
      <c r="F296" s="287"/>
      <c r="G296" s="287"/>
      <c r="H296" s="287"/>
      <c r="I296" t="s">
        <v>382</v>
      </c>
      <c r="J296" t="s">
        <v>42</v>
      </c>
    </row>
    <row r="297" spans="1:10" x14ac:dyDescent="0.25">
      <c r="A297" t="s">
        <v>390</v>
      </c>
      <c r="C297" s="286">
        <v>42096.188391203701</v>
      </c>
      <c r="D297" t="s">
        <v>382</v>
      </c>
      <c r="E297">
        <v>0</v>
      </c>
      <c r="F297" s="287"/>
      <c r="G297" s="287"/>
      <c r="H297" s="287"/>
      <c r="I297" t="s">
        <v>382</v>
      </c>
      <c r="J297" t="s">
        <v>42</v>
      </c>
    </row>
    <row r="298" spans="1:10" x14ac:dyDescent="0.25">
      <c r="A298" t="s">
        <v>399</v>
      </c>
      <c r="C298" s="286">
        <v>42096.691400462965</v>
      </c>
      <c r="D298" t="s">
        <v>382</v>
      </c>
      <c r="E298">
        <v>0</v>
      </c>
      <c r="F298" s="287"/>
      <c r="G298" s="287"/>
      <c r="H298" s="287"/>
      <c r="I298" t="s">
        <v>382</v>
      </c>
      <c r="J298" t="s">
        <v>42</v>
      </c>
    </row>
    <row r="299" spans="1:10" x14ac:dyDescent="0.25">
      <c r="A299" t="s">
        <v>397</v>
      </c>
      <c r="C299" s="286">
        <v>42096.812708333331</v>
      </c>
      <c r="D299" t="s">
        <v>382</v>
      </c>
      <c r="E299">
        <v>0</v>
      </c>
      <c r="F299" s="287"/>
      <c r="G299" s="287"/>
      <c r="H299" s="287"/>
      <c r="I299" t="s">
        <v>382</v>
      </c>
      <c r="J299" t="s">
        <v>42</v>
      </c>
    </row>
    <row r="300" spans="1:10" x14ac:dyDescent="0.25">
      <c r="A300" t="s">
        <v>397</v>
      </c>
      <c r="C300" s="286">
        <v>42098.780555555553</v>
      </c>
      <c r="D300" t="s">
        <v>382</v>
      </c>
      <c r="E300">
        <v>0</v>
      </c>
      <c r="F300" s="287"/>
      <c r="G300" s="287"/>
      <c r="H300" s="287"/>
      <c r="I300" t="s">
        <v>382</v>
      </c>
      <c r="J300" t="s">
        <v>42</v>
      </c>
    </row>
    <row r="301" spans="1:10" x14ac:dyDescent="0.25">
      <c r="A301" t="s">
        <v>397</v>
      </c>
      <c r="C301" s="286">
        <v>42100.812743055554</v>
      </c>
      <c r="D301" t="s">
        <v>382</v>
      </c>
      <c r="E301">
        <v>0</v>
      </c>
      <c r="F301" s="287"/>
      <c r="G301" s="287"/>
      <c r="H301" s="287"/>
      <c r="I301" t="s">
        <v>382</v>
      </c>
      <c r="J301" t="s">
        <v>42</v>
      </c>
    </row>
    <row r="302" spans="1:10" x14ac:dyDescent="0.25">
      <c r="A302" t="s">
        <v>396</v>
      </c>
      <c r="C302" s="286">
        <v>42102.808437500003</v>
      </c>
      <c r="D302" t="s">
        <v>382</v>
      </c>
      <c r="E302">
        <v>0</v>
      </c>
      <c r="F302" s="287"/>
      <c r="G302" s="287"/>
      <c r="H302" s="287"/>
      <c r="I302" t="s">
        <v>382</v>
      </c>
      <c r="J302" t="s">
        <v>42</v>
      </c>
    </row>
    <row r="303" spans="1:10" x14ac:dyDescent="0.25">
      <c r="A303" t="s">
        <v>390</v>
      </c>
      <c r="C303" s="286">
        <v>42103.009699074071</v>
      </c>
      <c r="D303" t="s">
        <v>382</v>
      </c>
      <c r="E303">
        <v>0</v>
      </c>
      <c r="F303" s="287"/>
      <c r="G303" s="287"/>
      <c r="H303" s="287"/>
      <c r="I303" t="s">
        <v>382</v>
      </c>
      <c r="J303" t="s">
        <v>42</v>
      </c>
    </row>
    <row r="304" spans="1:10" x14ac:dyDescent="0.25">
      <c r="A304" t="s">
        <v>396</v>
      </c>
      <c r="C304" s="286">
        <v>42104.826874999999</v>
      </c>
      <c r="D304" t="s">
        <v>382</v>
      </c>
      <c r="E304">
        <v>0</v>
      </c>
      <c r="F304" s="287"/>
      <c r="G304" s="287"/>
      <c r="H304" s="287"/>
      <c r="I304" t="s">
        <v>382</v>
      </c>
      <c r="J304" t="s">
        <v>42</v>
      </c>
    </row>
    <row r="305" spans="1:10" x14ac:dyDescent="0.25">
      <c r="A305" t="s">
        <v>404</v>
      </c>
      <c r="C305" s="286">
        <v>42105.956122685187</v>
      </c>
      <c r="D305" t="s">
        <v>382</v>
      </c>
      <c r="E305">
        <v>0</v>
      </c>
      <c r="F305" s="287"/>
      <c r="G305" s="287"/>
      <c r="H305" s="287"/>
      <c r="I305" t="s">
        <v>382</v>
      </c>
      <c r="J305" t="s">
        <v>42</v>
      </c>
    </row>
    <row r="306" spans="1:10" x14ac:dyDescent="0.25">
      <c r="A306" t="s">
        <v>388</v>
      </c>
      <c r="C306" s="286">
        <v>42105.958645833336</v>
      </c>
      <c r="D306" t="s">
        <v>382</v>
      </c>
      <c r="E306">
        <v>0</v>
      </c>
      <c r="F306" s="287"/>
      <c r="G306" s="287"/>
      <c r="H306" s="287"/>
      <c r="I306" t="s">
        <v>382</v>
      </c>
      <c r="J306" t="s">
        <v>42</v>
      </c>
    </row>
    <row r="307" spans="1:10" x14ac:dyDescent="0.25">
      <c r="A307" t="s">
        <v>404</v>
      </c>
      <c r="C307" s="286">
        <v>42105.958877314813</v>
      </c>
      <c r="D307" t="s">
        <v>382</v>
      </c>
      <c r="E307">
        <v>0</v>
      </c>
      <c r="F307" s="287"/>
      <c r="G307" s="287"/>
      <c r="H307" s="287"/>
      <c r="I307" t="s">
        <v>382</v>
      </c>
      <c r="J307" t="s">
        <v>42</v>
      </c>
    </row>
    <row r="308" spans="1:10" x14ac:dyDescent="0.25">
      <c r="A308" t="s">
        <v>397</v>
      </c>
      <c r="C308" s="286">
        <v>42106.823923611111</v>
      </c>
      <c r="D308" t="s">
        <v>382</v>
      </c>
      <c r="E308">
        <v>0</v>
      </c>
      <c r="F308" s="287"/>
      <c r="G308" s="287"/>
      <c r="H308" s="287"/>
      <c r="I308" t="s">
        <v>382</v>
      </c>
      <c r="J308" t="s">
        <v>42</v>
      </c>
    </row>
    <row r="309" spans="1:10" x14ac:dyDescent="0.25">
      <c r="A309" t="s">
        <v>397</v>
      </c>
      <c r="C309" s="286">
        <v>42108.831458333334</v>
      </c>
      <c r="D309" t="s">
        <v>382</v>
      </c>
      <c r="E309">
        <v>0</v>
      </c>
      <c r="F309" s="287"/>
      <c r="G309" s="287"/>
      <c r="H309" s="287"/>
      <c r="I309" t="s">
        <v>382</v>
      </c>
      <c r="J309" t="s">
        <v>42</v>
      </c>
    </row>
    <row r="310" spans="1:10" x14ac:dyDescent="0.25">
      <c r="A310" t="s">
        <v>390</v>
      </c>
      <c r="C310" s="286">
        <v>42109.936516203707</v>
      </c>
      <c r="D310" t="s">
        <v>382</v>
      </c>
      <c r="E310">
        <v>0</v>
      </c>
      <c r="F310" s="287"/>
      <c r="G310" s="287"/>
      <c r="H310" s="287"/>
      <c r="I310" t="s">
        <v>382</v>
      </c>
      <c r="J310" t="s">
        <v>42</v>
      </c>
    </row>
    <row r="311" spans="1:10" x14ac:dyDescent="0.25">
      <c r="A311" t="s">
        <v>396</v>
      </c>
      <c r="C311" s="286">
        <v>42110.868657407409</v>
      </c>
      <c r="D311" t="s">
        <v>382</v>
      </c>
      <c r="E311">
        <v>0</v>
      </c>
      <c r="F311" s="287"/>
      <c r="G311" s="287"/>
      <c r="H311" s="287"/>
      <c r="I311" t="s">
        <v>382</v>
      </c>
      <c r="J311" t="s">
        <v>42</v>
      </c>
    </row>
    <row r="312" spans="1:10" x14ac:dyDescent="0.25">
      <c r="A312" t="s">
        <v>397</v>
      </c>
      <c r="C312" s="286">
        <v>42112.867511574077</v>
      </c>
      <c r="D312" t="s">
        <v>382</v>
      </c>
      <c r="E312">
        <v>0</v>
      </c>
      <c r="F312" s="287"/>
      <c r="G312" s="287"/>
      <c r="H312" s="287"/>
      <c r="I312" t="s">
        <v>382</v>
      </c>
      <c r="J312" t="s">
        <v>42</v>
      </c>
    </row>
    <row r="313" spans="1:10" x14ac:dyDescent="0.25">
      <c r="A313" t="s">
        <v>397</v>
      </c>
      <c r="C313" s="286">
        <v>42114.796377314815</v>
      </c>
      <c r="D313" t="s">
        <v>382</v>
      </c>
      <c r="E313">
        <v>0</v>
      </c>
      <c r="F313" s="287"/>
      <c r="G313" s="287"/>
      <c r="H313" s="287"/>
      <c r="I313" t="s">
        <v>382</v>
      </c>
      <c r="J313" t="s">
        <v>42</v>
      </c>
    </row>
    <row r="314" spans="1:10" x14ac:dyDescent="0.25">
      <c r="A314" t="s">
        <v>397</v>
      </c>
      <c r="C314" s="286">
        <v>42116.86886574074</v>
      </c>
      <c r="D314" t="s">
        <v>382</v>
      </c>
      <c r="E314">
        <v>0</v>
      </c>
      <c r="F314" s="287"/>
      <c r="G314" s="287"/>
      <c r="H314" s="287"/>
      <c r="I314" t="s">
        <v>382</v>
      </c>
      <c r="J314" t="s">
        <v>42</v>
      </c>
    </row>
    <row r="315" spans="1:10" x14ac:dyDescent="0.25">
      <c r="A315" t="s">
        <v>390</v>
      </c>
      <c r="C315" s="286">
        <v>42116.873912037037</v>
      </c>
      <c r="D315" t="s">
        <v>382</v>
      </c>
      <c r="E315">
        <v>0</v>
      </c>
      <c r="F315" s="287"/>
      <c r="G315" s="287"/>
      <c r="H315" s="287"/>
      <c r="I315" t="s">
        <v>382</v>
      </c>
      <c r="J315" t="s">
        <v>42</v>
      </c>
    </row>
    <row r="316" spans="1:10" x14ac:dyDescent="0.25">
      <c r="A316" t="s">
        <v>397</v>
      </c>
      <c r="C316" s="286">
        <v>42118.8205787037</v>
      </c>
      <c r="D316" t="s">
        <v>382</v>
      </c>
      <c r="E316">
        <v>0</v>
      </c>
      <c r="F316" s="287"/>
      <c r="G316" s="287"/>
      <c r="H316" s="287"/>
      <c r="I316" t="s">
        <v>382</v>
      </c>
      <c r="J316" t="s">
        <v>42</v>
      </c>
    </row>
    <row r="317" spans="1:10" x14ac:dyDescent="0.25">
      <c r="A317" t="s">
        <v>397</v>
      </c>
      <c r="C317" s="286">
        <v>42120.864421296297</v>
      </c>
      <c r="D317" t="s">
        <v>382</v>
      </c>
      <c r="E317">
        <v>0</v>
      </c>
      <c r="F317" s="287"/>
      <c r="G317" s="287"/>
      <c r="H317" s="287"/>
      <c r="I317" t="s">
        <v>382</v>
      </c>
      <c r="J317" t="s">
        <v>42</v>
      </c>
    </row>
    <row r="318" spans="1:10" x14ac:dyDescent="0.25">
      <c r="A318" t="s">
        <v>397</v>
      </c>
      <c r="C318" s="286">
        <v>42122.803263888891</v>
      </c>
      <c r="D318" t="s">
        <v>382</v>
      </c>
      <c r="E318">
        <v>0</v>
      </c>
      <c r="F318" s="287"/>
      <c r="G318" s="287"/>
      <c r="H318" s="287"/>
      <c r="I318" t="s">
        <v>382</v>
      </c>
      <c r="J318" t="s">
        <v>42</v>
      </c>
    </row>
    <row r="319" spans="1:10" x14ac:dyDescent="0.25">
      <c r="A319" t="s">
        <v>397</v>
      </c>
      <c r="C319" s="286">
        <v>42124.792245370372</v>
      </c>
      <c r="D319" t="s">
        <v>382</v>
      </c>
      <c r="E319">
        <v>0</v>
      </c>
      <c r="F319" s="287"/>
      <c r="G319" s="287"/>
      <c r="H319" s="287"/>
      <c r="I319" t="s">
        <v>382</v>
      </c>
      <c r="J319" t="s">
        <v>42</v>
      </c>
    </row>
    <row r="320" spans="1:10" x14ac:dyDescent="0.25">
      <c r="A320" t="s">
        <v>390</v>
      </c>
      <c r="C320" s="286">
        <v>42124.845185185186</v>
      </c>
      <c r="D320" t="s">
        <v>382</v>
      </c>
      <c r="E320">
        <v>0</v>
      </c>
      <c r="F320" s="287"/>
      <c r="G320" s="287"/>
      <c r="H320" s="287"/>
      <c r="I320" t="s">
        <v>382</v>
      </c>
      <c r="J320" t="s">
        <v>42</v>
      </c>
    </row>
    <row r="321" spans="1:10" x14ac:dyDescent="0.25">
      <c r="A321" t="s">
        <v>397</v>
      </c>
      <c r="C321" s="286">
        <v>42126.837233796294</v>
      </c>
      <c r="D321" t="s">
        <v>382</v>
      </c>
      <c r="E321">
        <v>0</v>
      </c>
      <c r="F321" s="287"/>
      <c r="G321" s="287"/>
      <c r="H321" s="287"/>
      <c r="I321" t="s">
        <v>382</v>
      </c>
      <c r="J321" t="s">
        <v>42</v>
      </c>
    </row>
    <row r="322" spans="1:10" x14ac:dyDescent="0.25">
      <c r="A322" t="s">
        <v>397</v>
      </c>
      <c r="C322" s="286">
        <v>42128.842812499999</v>
      </c>
      <c r="D322" t="s">
        <v>382</v>
      </c>
      <c r="E322">
        <v>0</v>
      </c>
      <c r="F322" s="287"/>
      <c r="G322" s="287"/>
      <c r="H322" s="287"/>
      <c r="I322" t="s">
        <v>382</v>
      </c>
      <c r="J322" t="s">
        <v>42</v>
      </c>
    </row>
    <row r="323" spans="1:10" x14ac:dyDescent="0.25">
      <c r="A323" t="s">
        <v>390</v>
      </c>
      <c r="C323" s="286">
        <v>42130.762685185182</v>
      </c>
      <c r="D323" t="s">
        <v>382</v>
      </c>
      <c r="E323">
        <v>0</v>
      </c>
      <c r="F323" s="287"/>
      <c r="G323" s="287"/>
      <c r="H323" s="287"/>
      <c r="I323" t="s">
        <v>382</v>
      </c>
      <c r="J323" t="s">
        <v>42</v>
      </c>
    </row>
    <row r="324" spans="1:10" x14ac:dyDescent="0.25">
      <c r="A324" t="s">
        <v>396</v>
      </c>
      <c r="C324" s="286">
        <v>42130.78638888889</v>
      </c>
      <c r="D324" t="s">
        <v>382</v>
      </c>
      <c r="E324">
        <v>0</v>
      </c>
      <c r="F324" s="287"/>
      <c r="G324" s="287"/>
      <c r="H324" s="287"/>
      <c r="I324" t="s">
        <v>382</v>
      </c>
      <c r="J324" t="s">
        <v>42</v>
      </c>
    </row>
    <row r="325" spans="1:10" x14ac:dyDescent="0.25">
      <c r="A325" t="s">
        <v>396</v>
      </c>
      <c r="C325" s="286">
        <v>42132.835243055553</v>
      </c>
      <c r="D325" t="s">
        <v>382</v>
      </c>
      <c r="E325">
        <v>0</v>
      </c>
      <c r="F325" s="287"/>
      <c r="G325" s="287"/>
      <c r="H325" s="287"/>
      <c r="I325" t="s">
        <v>382</v>
      </c>
      <c r="J325" t="s">
        <v>42</v>
      </c>
    </row>
    <row r="326" spans="1:10" x14ac:dyDescent="0.25">
      <c r="A326" t="s">
        <v>404</v>
      </c>
      <c r="C326" s="286">
        <v>42133.974537037036</v>
      </c>
      <c r="D326" t="s">
        <v>382</v>
      </c>
      <c r="E326">
        <v>0</v>
      </c>
      <c r="F326" s="287"/>
      <c r="G326" s="287"/>
      <c r="H326" s="287"/>
      <c r="I326" t="s">
        <v>382</v>
      </c>
      <c r="J326" t="s">
        <v>42</v>
      </c>
    </row>
    <row r="327" spans="1:10" x14ac:dyDescent="0.25">
      <c r="A327" t="s">
        <v>396</v>
      </c>
      <c r="C327" s="286">
        <v>42134.767233796294</v>
      </c>
      <c r="D327" t="s">
        <v>382</v>
      </c>
      <c r="E327">
        <v>0</v>
      </c>
      <c r="F327" s="287"/>
      <c r="G327" s="287"/>
      <c r="H327" s="287"/>
      <c r="I327" t="s">
        <v>382</v>
      </c>
      <c r="J327" t="s">
        <v>42</v>
      </c>
    </row>
    <row r="328" spans="1:10" x14ac:dyDescent="0.25">
      <c r="A328" t="s">
        <v>396</v>
      </c>
      <c r="C328" s="286">
        <v>42136.79142361111</v>
      </c>
      <c r="D328" t="s">
        <v>382</v>
      </c>
      <c r="E328">
        <v>0</v>
      </c>
      <c r="F328" s="287"/>
      <c r="G328" s="287"/>
      <c r="H328" s="287"/>
      <c r="I328" t="s">
        <v>382</v>
      </c>
      <c r="J328" t="s">
        <v>42</v>
      </c>
    </row>
    <row r="329" spans="1:10" x14ac:dyDescent="0.25">
      <c r="A329" t="s">
        <v>390</v>
      </c>
      <c r="C329" s="286">
        <v>42137.763020833336</v>
      </c>
      <c r="D329" t="s">
        <v>382</v>
      </c>
      <c r="E329">
        <v>0</v>
      </c>
      <c r="F329" s="287"/>
      <c r="G329" s="287"/>
      <c r="H329" s="287"/>
      <c r="I329" t="s">
        <v>382</v>
      </c>
      <c r="J329" t="s">
        <v>42</v>
      </c>
    </row>
    <row r="330" spans="1:10" x14ac:dyDescent="0.25">
      <c r="A330" t="s">
        <v>396</v>
      </c>
      <c r="C330" s="286">
        <v>42138.791192129633</v>
      </c>
      <c r="D330" t="s">
        <v>382</v>
      </c>
      <c r="E330">
        <v>0</v>
      </c>
      <c r="F330" s="287"/>
      <c r="G330" s="287"/>
      <c r="H330" s="287"/>
      <c r="I330" t="s">
        <v>382</v>
      </c>
      <c r="J330" t="s">
        <v>42</v>
      </c>
    </row>
    <row r="331" spans="1:10" x14ac:dyDescent="0.25">
      <c r="A331" t="s">
        <v>397</v>
      </c>
      <c r="C331" s="286">
        <v>42140.851331018515</v>
      </c>
      <c r="D331" t="s">
        <v>382</v>
      </c>
      <c r="E331">
        <v>0</v>
      </c>
      <c r="F331" s="287"/>
      <c r="G331" s="287"/>
      <c r="H331" s="287"/>
      <c r="I331" t="s">
        <v>382</v>
      </c>
      <c r="J331" t="s">
        <v>42</v>
      </c>
    </row>
    <row r="332" spans="1:10" x14ac:dyDescent="0.25">
      <c r="A332" t="s">
        <v>397</v>
      </c>
      <c r="C332" s="286">
        <v>42142.782129629632</v>
      </c>
      <c r="D332" t="s">
        <v>382</v>
      </c>
      <c r="E332">
        <v>0</v>
      </c>
      <c r="F332" s="287"/>
      <c r="G332" s="287"/>
      <c r="H332" s="287"/>
      <c r="I332" t="s">
        <v>382</v>
      </c>
      <c r="J332" t="s">
        <v>42</v>
      </c>
    </row>
    <row r="333" spans="1:10" x14ac:dyDescent="0.25">
      <c r="A333" t="s">
        <v>390</v>
      </c>
      <c r="C333" s="286">
        <v>42144.759583333333</v>
      </c>
      <c r="D333" t="s">
        <v>382</v>
      </c>
      <c r="E333">
        <v>0</v>
      </c>
      <c r="F333" s="287"/>
      <c r="G333" s="287"/>
      <c r="H333" s="287"/>
      <c r="I333" t="s">
        <v>382</v>
      </c>
      <c r="J333" t="s">
        <v>42</v>
      </c>
    </row>
    <row r="334" spans="1:10" x14ac:dyDescent="0.25">
      <c r="A334" t="s">
        <v>397</v>
      </c>
      <c r="C334" s="286">
        <v>42145.426076388889</v>
      </c>
      <c r="D334" t="s">
        <v>382</v>
      </c>
      <c r="E334">
        <v>0</v>
      </c>
      <c r="F334" s="287"/>
      <c r="G334" s="287"/>
      <c r="H334" s="287"/>
      <c r="I334" t="s">
        <v>382</v>
      </c>
      <c r="J334" t="s">
        <v>42</v>
      </c>
    </row>
    <row r="335" spans="1:10" x14ac:dyDescent="0.25">
      <c r="A335" t="s">
        <v>397</v>
      </c>
      <c r="C335" s="286">
        <v>42146.831828703704</v>
      </c>
      <c r="D335" t="s">
        <v>382</v>
      </c>
      <c r="E335">
        <v>0</v>
      </c>
      <c r="F335" s="287"/>
      <c r="G335" s="287"/>
      <c r="H335" s="287"/>
      <c r="I335" t="s">
        <v>382</v>
      </c>
      <c r="J335" t="s">
        <v>42</v>
      </c>
    </row>
    <row r="336" spans="1:10" x14ac:dyDescent="0.25">
      <c r="A336" t="s">
        <v>404</v>
      </c>
      <c r="C336" s="286">
        <v>42147.809108796297</v>
      </c>
      <c r="D336" t="s">
        <v>382</v>
      </c>
      <c r="E336">
        <v>0</v>
      </c>
      <c r="F336" s="287"/>
      <c r="G336" s="287"/>
      <c r="H336" s="287"/>
      <c r="I336" t="s">
        <v>382</v>
      </c>
      <c r="J336" t="s">
        <v>42</v>
      </c>
    </row>
    <row r="337" spans="1:10" x14ac:dyDescent="0.25">
      <c r="A337" t="s">
        <v>397</v>
      </c>
      <c r="C337" s="286">
        <v>42148.801412037035</v>
      </c>
      <c r="D337" t="s">
        <v>382</v>
      </c>
      <c r="E337">
        <v>0</v>
      </c>
      <c r="F337" s="287"/>
      <c r="G337" s="287"/>
      <c r="H337" s="287"/>
      <c r="I337" t="s">
        <v>382</v>
      </c>
      <c r="J337" t="s">
        <v>42</v>
      </c>
    </row>
    <row r="338" spans="1:10" x14ac:dyDescent="0.25">
      <c r="A338" t="s">
        <v>397</v>
      </c>
      <c r="C338" s="286">
        <v>42150.819444444445</v>
      </c>
      <c r="D338" t="s">
        <v>382</v>
      </c>
      <c r="E338">
        <v>0</v>
      </c>
      <c r="F338" s="287"/>
      <c r="G338" s="287"/>
      <c r="H338" s="287"/>
      <c r="I338" t="s">
        <v>382</v>
      </c>
      <c r="J338" t="s">
        <v>42</v>
      </c>
    </row>
    <row r="339" spans="1:10" x14ac:dyDescent="0.25">
      <c r="A339" t="s">
        <v>390</v>
      </c>
      <c r="C339" s="286">
        <v>42152.043692129628</v>
      </c>
      <c r="D339" t="s">
        <v>382</v>
      </c>
      <c r="E339">
        <v>0</v>
      </c>
      <c r="F339" s="287"/>
      <c r="G339" s="287"/>
      <c r="H339" s="287"/>
      <c r="I339" t="s">
        <v>382</v>
      </c>
      <c r="J339" t="s">
        <v>42</v>
      </c>
    </row>
    <row r="340" spans="1:10" x14ac:dyDescent="0.25">
      <c r="A340" t="s">
        <v>397</v>
      </c>
      <c r="C340" s="286">
        <v>42152.786157407405</v>
      </c>
      <c r="D340" t="s">
        <v>382</v>
      </c>
      <c r="E340">
        <v>0</v>
      </c>
      <c r="F340" s="287"/>
      <c r="G340" s="287"/>
      <c r="H340" s="287"/>
      <c r="I340" t="s">
        <v>382</v>
      </c>
      <c r="J340" t="s">
        <v>42</v>
      </c>
    </row>
    <row r="341" spans="1:10" x14ac:dyDescent="0.25">
      <c r="A341" t="s">
        <v>404</v>
      </c>
      <c r="C341" s="286">
        <v>42154.647858796299</v>
      </c>
      <c r="D341" t="s">
        <v>382</v>
      </c>
      <c r="E341">
        <v>0</v>
      </c>
      <c r="F341" s="287"/>
      <c r="G341" s="287"/>
      <c r="H341" s="287"/>
      <c r="I341" t="s">
        <v>382</v>
      </c>
      <c r="J341" t="s">
        <v>42</v>
      </c>
    </row>
    <row r="342" spans="1:10" x14ac:dyDescent="0.25">
      <c r="A342" t="s">
        <v>397</v>
      </c>
      <c r="C342" s="286">
        <v>42154.846030092594</v>
      </c>
      <c r="D342" t="s">
        <v>382</v>
      </c>
      <c r="E342">
        <v>0</v>
      </c>
      <c r="F342" s="287"/>
      <c r="G342" s="287"/>
      <c r="H342" s="287"/>
      <c r="I342" t="s">
        <v>382</v>
      </c>
      <c r="J342" t="s">
        <v>42</v>
      </c>
    </row>
    <row r="343" spans="1:10" x14ac:dyDescent="0.25">
      <c r="A343" t="s">
        <v>397</v>
      </c>
      <c r="C343" s="286">
        <v>42156.783148148148</v>
      </c>
      <c r="D343" t="s">
        <v>382</v>
      </c>
      <c r="E343">
        <v>0</v>
      </c>
      <c r="F343" s="287"/>
      <c r="G343" s="287"/>
      <c r="H343" s="287"/>
      <c r="I343" t="s">
        <v>382</v>
      </c>
      <c r="J343" t="s">
        <v>42</v>
      </c>
    </row>
    <row r="344" spans="1:10" x14ac:dyDescent="0.25">
      <c r="A344" t="s">
        <v>397</v>
      </c>
      <c r="C344" s="286">
        <v>42158.854259259257</v>
      </c>
      <c r="D344" t="s">
        <v>382</v>
      </c>
      <c r="E344">
        <v>0</v>
      </c>
      <c r="F344" s="287"/>
      <c r="G344" s="287"/>
      <c r="H344" s="287"/>
      <c r="I344" t="s">
        <v>382</v>
      </c>
      <c r="J344" t="s">
        <v>42</v>
      </c>
    </row>
    <row r="345" spans="1:10" x14ac:dyDescent="0.25">
      <c r="A345" t="s">
        <v>390</v>
      </c>
      <c r="C345" s="286">
        <v>42159.259293981479</v>
      </c>
      <c r="D345" t="s">
        <v>382</v>
      </c>
      <c r="E345">
        <v>0</v>
      </c>
      <c r="F345" s="287"/>
      <c r="G345" s="287"/>
      <c r="H345" s="287"/>
      <c r="I345" t="s">
        <v>382</v>
      </c>
      <c r="J345" t="s">
        <v>42</v>
      </c>
    </row>
    <row r="346" spans="1:10" x14ac:dyDescent="0.25">
      <c r="A346" t="s">
        <v>397</v>
      </c>
      <c r="C346" s="286">
        <v>42160.882407407407</v>
      </c>
      <c r="D346" t="s">
        <v>382</v>
      </c>
      <c r="E346">
        <v>0</v>
      </c>
      <c r="F346" s="287"/>
      <c r="G346" s="287"/>
      <c r="H346" s="287"/>
      <c r="I346" t="s">
        <v>382</v>
      </c>
      <c r="J346" t="s">
        <v>42</v>
      </c>
    </row>
    <row r="347" spans="1:10" x14ac:dyDescent="0.25">
      <c r="A347" t="s">
        <v>404</v>
      </c>
      <c r="C347" s="286">
        <v>42161.738726851851</v>
      </c>
      <c r="D347" t="s">
        <v>382</v>
      </c>
      <c r="E347">
        <v>0</v>
      </c>
      <c r="F347" s="287"/>
      <c r="G347" s="287"/>
      <c r="H347" s="287"/>
      <c r="I347" t="s">
        <v>382</v>
      </c>
      <c r="J347" t="s">
        <v>42</v>
      </c>
    </row>
    <row r="348" spans="1:10" x14ac:dyDescent="0.25">
      <c r="A348" t="s">
        <v>397</v>
      </c>
      <c r="C348" s="286">
        <v>42162.843576388892</v>
      </c>
      <c r="D348" t="s">
        <v>382</v>
      </c>
      <c r="E348">
        <v>0</v>
      </c>
      <c r="F348" s="287"/>
      <c r="G348" s="287"/>
      <c r="H348" s="287"/>
      <c r="I348" t="s">
        <v>382</v>
      </c>
      <c r="J348" t="s">
        <v>42</v>
      </c>
    </row>
    <row r="349" spans="1:10" x14ac:dyDescent="0.25">
      <c r="A349" t="s">
        <v>388</v>
      </c>
      <c r="C349" s="286">
        <v>42164.501689814817</v>
      </c>
      <c r="D349" t="s">
        <v>382</v>
      </c>
      <c r="E349">
        <v>0</v>
      </c>
      <c r="F349" s="287"/>
      <c r="G349" s="287"/>
      <c r="H349" s="287"/>
      <c r="I349" t="s">
        <v>382</v>
      </c>
      <c r="J349" t="s">
        <v>42</v>
      </c>
    </row>
    <row r="350" spans="1:10" x14ac:dyDescent="0.25">
      <c r="A350" t="s">
        <v>397</v>
      </c>
      <c r="C350" s="286">
        <v>42164.798622685186</v>
      </c>
      <c r="D350" t="s">
        <v>382</v>
      </c>
      <c r="E350">
        <v>0</v>
      </c>
      <c r="F350" s="287"/>
      <c r="G350" s="287"/>
      <c r="H350" s="287"/>
      <c r="I350" t="s">
        <v>382</v>
      </c>
      <c r="J350" t="s">
        <v>42</v>
      </c>
    </row>
    <row r="351" spans="1:10" x14ac:dyDescent="0.25">
      <c r="A351" t="s">
        <v>390</v>
      </c>
      <c r="C351" s="286">
        <v>42166.116898148146</v>
      </c>
      <c r="D351" t="s">
        <v>382</v>
      </c>
      <c r="E351">
        <v>0</v>
      </c>
      <c r="F351" s="287"/>
      <c r="G351" s="287"/>
      <c r="H351" s="287"/>
      <c r="I351" t="s">
        <v>382</v>
      </c>
      <c r="J351" t="s">
        <v>42</v>
      </c>
    </row>
    <row r="352" spans="1:10" x14ac:dyDescent="0.25">
      <c r="A352" t="s">
        <v>397</v>
      </c>
      <c r="C352" s="286">
        <v>42166.867997685185</v>
      </c>
      <c r="D352" t="s">
        <v>382</v>
      </c>
      <c r="E352">
        <v>0</v>
      </c>
      <c r="F352" s="287"/>
      <c r="G352" s="287"/>
      <c r="H352" s="287"/>
      <c r="I352" t="s">
        <v>382</v>
      </c>
      <c r="J352" t="s">
        <v>42</v>
      </c>
    </row>
    <row r="353" spans="1:10" x14ac:dyDescent="0.25">
      <c r="A353" t="s">
        <v>397</v>
      </c>
      <c r="C353" s="286">
        <v>42168.819398148145</v>
      </c>
      <c r="D353" t="s">
        <v>382</v>
      </c>
      <c r="E353">
        <v>0</v>
      </c>
      <c r="F353" s="287"/>
      <c r="G353" s="287"/>
      <c r="H353" s="287"/>
      <c r="I353" t="s">
        <v>382</v>
      </c>
      <c r="J353" t="s">
        <v>42</v>
      </c>
    </row>
    <row r="354" spans="1:10" x14ac:dyDescent="0.25">
      <c r="A354" t="s">
        <v>397</v>
      </c>
      <c r="C354" s="286">
        <v>42170.814050925925</v>
      </c>
      <c r="D354" t="s">
        <v>382</v>
      </c>
      <c r="E354">
        <v>0</v>
      </c>
      <c r="F354" s="287"/>
      <c r="G354" s="287"/>
      <c r="H354" s="287"/>
      <c r="I354" t="s">
        <v>382</v>
      </c>
      <c r="J354" t="s">
        <v>42</v>
      </c>
    </row>
    <row r="355" spans="1:10" x14ac:dyDescent="0.25">
      <c r="A355" t="s">
        <v>390</v>
      </c>
      <c r="C355" s="286">
        <v>42172.699675925927</v>
      </c>
      <c r="D355" t="s">
        <v>382</v>
      </c>
      <c r="E355">
        <v>0</v>
      </c>
      <c r="F355" s="287"/>
      <c r="G355" s="287"/>
      <c r="H355" s="287"/>
      <c r="I355" t="s">
        <v>382</v>
      </c>
      <c r="J355" t="s">
        <v>42</v>
      </c>
    </row>
    <row r="356" spans="1:10" x14ac:dyDescent="0.25">
      <c r="A356" t="s">
        <v>397</v>
      </c>
      <c r="C356" s="286">
        <v>42172.851134259261</v>
      </c>
      <c r="D356" t="s">
        <v>382</v>
      </c>
      <c r="E356">
        <v>0</v>
      </c>
      <c r="F356" s="287"/>
      <c r="G356" s="287"/>
      <c r="H356" s="287"/>
      <c r="I356" t="s">
        <v>382</v>
      </c>
      <c r="J356" t="s">
        <v>42</v>
      </c>
    </row>
    <row r="357" spans="1:10" x14ac:dyDescent="0.25">
      <c r="A357" t="s">
        <v>388</v>
      </c>
      <c r="C357" s="286">
        <v>42172.862569444442</v>
      </c>
      <c r="D357" t="s">
        <v>382</v>
      </c>
      <c r="E357">
        <v>0</v>
      </c>
      <c r="F357" s="287"/>
      <c r="G357" s="287"/>
      <c r="H357" s="287"/>
      <c r="I357" t="s">
        <v>382</v>
      </c>
      <c r="J357" t="s">
        <v>42</v>
      </c>
    </row>
    <row r="358" spans="1:10" x14ac:dyDescent="0.25">
      <c r="A358" t="s">
        <v>388</v>
      </c>
      <c r="C358" s="286">
        <v>42172.863379629627</v>
      </c>
      <c r="D358" t="s">
        <v>382</v>
      </c>
      <c r="E358">
        <v>0</v>
      </c>
      <c r="F358" s="287"/>
      <c r="G358" s="287"/>
      <c r="H358" s="287"/>
      <c r="I358" t="s">
        <v>382</v>
      </c>
      <c r="J358" t="s">
        <v>42</v>
      </c>
    </row>
    <row r="359" spans="1:10" x14ac:dyDescent="0.25">
      <c r="A359" t="s">
        <v>397</v>
      </c>
      <c r="C359" s="286">
        <v>42174.800381944442</v>
      </c>
      <c r="D359" t="s">
        <v>382</v>
      </c>
      <c r="E359">
        <v>0</v>
      </c>
      <c r="F359" s="287"/>
      <c r="G359" s="287"/>
      <c r="H359" s="287"/>
      <c r="I359" t="s">
        <v>382</v>
      </c>
      <c r="J359" t="s">
        <v>42</v>
      </c>
    </row>
    <row r="360" spans="1:10" x14ac:dyDescent="0.25">
      <c r="A360" t="s">
        <v>397</v>
      </c>
      <c r="C360" s="286">
        <v>42176.841782407406</v>
      </c>
      <c r="D360" t="s">
        <v>382</v>
      </c>
      <c r="E360">
        <v>0</v>
      </c>
      <c r="F360" s="287"/>
      <c r="G360" s="287"/>
      <c r="H360" s="287"/>
      <c r="I360" t="s">
        <v>382</v>
      </c>
      <c r="J360" t="s">
        <v>42</v>
      </c>
    </row>
    <row r="361" spans="1:10" x14ac:dyDescent="0.25">
      <c r="A361" t="s">
        <v>397</v>
      </c>
      <c r="C361" s="286">
        <v>42178.854467592595</v>
      </c>
      <c r="D361" t="s">
        <v>382</v>
      </c>
      <c r="E361">
        <v>0</v>
      </c>
      <c r="F361" s="287"/>
      <c r="G361" s="287"/>
      <c r="H361" s="287"/>
      <c r="I361" t="s">
        <v>382</v>
      </c>
      <c r="J361" t="s">
        <v>42</v>
      </c>
    </row>
    <row r="362" spans="1:10" x14ac:dyDescent="0.25">
      <c r="A362" t="s">
        <v>390</v>
      </c>
      <c r="C362" s="286">
        <v>42180.016689814816</v>
      </c>
      <c r="D362" t="s">
        <v>382</v>
      </c>
      <c r="E362">
        <v>0</v>
      </c>
      <c r="F362" s="287"/>
      <c r="G362" s="287"/>
      <c r="H362" s="287"/>
      <c r="I362" t="s">
        <v>382</v>
      </c>
      <c r="J362" t="s">
        <v>42</v>
      </c>
    </row>
    <row r="363" spans="1:10" x14ac:dyDescent="0.25">
      <c r="A363" t="s">
        <v>397</v>
      </c>
      <c r="C363" s="286">
        <v>42180.802893518521</v>
      </c>
      <c r="D363" t="s">
        <v>382</v>
      </c>
      <c r="E363">
        <v>0</v>
      </c>
      <c r="F363" s="287"/>
      <c r="G363" s="287"/>
      <c r="H363" s="287"/>
      <c r="I363" t="s">
        <v>382</v>
      </c>
      <c r="J363" t="s">
        <v>42</v>
      </c>
    </row>
    <row r="364" spans="1:10" x14ac:dyDescent="0.25">
      <c r="A364" t="s">
        <v>404</v>
      </c>
      <c r="C364" s="286">
        <v>42181.824363425927</v>
      </c>
      <c r="D364" t="s">
        <v>382</v>
      </c>
      <c r="E364">
        <v>0</v>
      </c>
      <c r="F364" s="287"/>
      <c r="G364" s="287"/>
      <c r="H364" s="287"/>
      <c r="I364" t="s">
        <v>382</v>
      </c>
      <c r="J364" t="s">
        <v>42</v>
      </c>
    </row>
    <row r="365" spans="1:10" x14ac:dyDescent="0.25">
      <c r="A365" t="s">
        <v>396</v>
      </c>
      <c r="C365" s="286">
        <v>42182.815474537034</v>
      </c>
      <c r="D365" t="s">
        <v>382</v>
      </c>
      <c r="E365">
        <v>0</v>
      </c>
      <c r="F365" s="287"/>
      <c r="G365" s="287"/>
      <c r="H365" s="287"/>
      <c r="I365" t="s">
        <v>382</v>
      </c>
      <c r="J365" t="s">
        <v>42</v>
      </c>
    </row>
    <row r="366" spans="1:10" x14ac:dyDescent="0.25">
      <c r="A366" t="s">
        <v>396</v>
      </c>
      <c r="C366" s="286">
        <v>42184.86478009259</v>
      </c>
      <c r="D366" t="s">
        <v>382</v>
      </c>
      <c r="E366">
        <v>0</v>
      </c>
      <c r="F366" s="287"/>
      <c r="G366" s="287"/>
      <c r="H366" s="287"/>
      <c r="I366" t="s">
        <v>382</v>
      </c>
      <c r="J366" t="s">
        <v>42</v>
      </c>
    </row>
    <row r="367" spans="1:10" x14ac:dyDescent="0.25">
      <c r="A367" t="s">
        <v>396</v>
      </c>
      <c r="C367" s="286">
        <v>42186.814004629632</v>
      </c>
      <c r="D367" t="s">
        <v>382</v>
      </c>
      <c r="E367">
        <v>0</v>
      </c>
      <c r="F367" s="287"/>
      <c r="G367" s="287"/>
      <c r="H367" s="287"/>
      <c r="I367" t="s">
        <v>382</v>
      </c>
      <c r="J367" t="s">
        <v>42</v>
      </c>
    </row>
    <row r="368" spans="1:10" x14ac:dyDescent="0.25">
      <c r="A368" t="s">
        <v>390</v>
      </c>
      <c r="C368" s="286">
        <v>42187.262835648151</v>
      </c>
      <c r="D368" t="s">
        <v>382</v>
      </c>
      <c r="E368">
        <v>0</v>
      </c>
      <c r="F368" s="287"/>
      <c r="G368" s="287"/>
      <c r="H368" s="287"/>
      <c r="I368" t="s">
        <v>382</v>
      </c>
      <c r="J368" t="s">
        <v>42</v>
      </c>
    </row>
    <row r="369" spans="1:10" x14ac:dyDescent="0.25">
      <c r="A369" t="s">
        <v>404</v>
      </c>
      <c r="C369" s="286">
        <v>42187.786493055559</v>
      </c>
      <c r="D369" t="s">
        <v>382</v>
      </c>
      <c r="E369">
        <v>0</v>
      </c>
      <c r="F369" s="287"/>
      <c r="G369" s="287"/>
      <c r="H369" s="287"/>
      <c r="I369" t="s">
        <v>382</v>
      </c>
      <c r="J369" t="s">
        <v>42</v>
      </c>
    </row>
    <row r="370" spans="1:10" x14ac:dyDescent="0.25">
      <c r="A370" t="s">
        <v>396</v>
      </c>
      <c r="C370" s="286">
        <v>42188.63863425926</v>
      </c>
      <c r="D370" t="s">
        <v>382</v>
      </c>
      <c r="E370">
        <v>0</v>
      </c>
      <c r="F370" s="287"/>
      <c r="G370" s="287"/>
      <c r="H370" s="287"/>
      <c r="I370" t="s">
        <v>382</v>
      </c>
      <c r="J370" t="s">
        <v>42</v>
      </c>
    </row>
    <row r="371" spans="1:10" x14ac:dyDescent="0.25">
      <c r="A371" t="s">
        <v>396</v>
      </c>
      <c r="C371" s="286">
        <v>42188.791655092595</v>
      </c>
      <c r="D371" t="s">
        <v>382</v>
      </c>
      <c r="E371">
        <v>0</v>
      </c>
      <c r="F371" s="287"/>
      <c r="G371" s="287"/>
      <c r="H371" s="287"/>
      <c r="I371" t="s">
        <v>382</v>
      </c>
      <c r="J371" t="s">
        <v>42</v>
      </c>
    </row>
    <row r="372" spans="1:10" x14ac:dyDescent="0.25">
      <c r="A372" t="s">
        <v>396</v>
      </c>
      <c r="C372" s="286">
        <v>42190.819328703707</v>
      </c>
      <c r="D372" t="s">
        <v>382</v>
      </c>
      <c r="E372">
        <v>0</v>
      </c>
      <c r="F372" s="287"/>
      <c r="G372" s="287"/>
      <c r="H372" s="287"/>
      <c r="I372" t="s">
        <v>382</v>
      </c>
      <c r="J372" t="s">
        <v>42</v>
      </c>
    </row>
    <row r="373" spans="1:10" x14ac:dyDescent="0.25">
      <c r="A373" t="s">
        <v>396</v>
      </c>
      <c r="C373" s="286">
        <v>42192.80232638889</v>
      </c>
      <c r="D373" t="s">
        <v>382</v>
      </c>
      <c r="E373">
        <v>0</v>
      </c>
      <c r="F373" s="287"/>
      <c r="G373" s="287"/>
      <c r="H373" s="287"/>
      <c r="I373" t="s">
        <v>382</v>
      </c>
      <c r="J373" t="s">
        <v>42</v>
      </c>
    </row>
    <row r="374" spans="1:10" x14ac:dyDescent="0.25">
      <c r="A374" t="s">
        <v>390</v>
      </c>
      <c r="C374" s="286">
        <v>42194.141689814816</v>
      </c>
      <c r="D374" t="s">
        <v>382</v>
      </c>
      <c r="E374">
        <v>0</v>
      </c>
      <c r="F374" s="287"/>
      <c r="G374" s="287"/>
      <c r="H374" s="287"/>
      <c r="I374" t="s">
        <v>382</v>
      </c>
      <c r="J374" t="s">
        <v>42</v>
      </c>
    </row>
    <row r="375" spans="1:10" x14ac:dyDescent="0.25">
      <c r="A375" t="s">
        <v>405</v>
      </c>
      <c r="C375" s="286">
        <v>42194.792500000003</v>
      </c>
      <c r="D375" t="s">
        <v>382</v>
      </c>
      <c r="E375">
        <v>0</v>
      </c>
      <c r="F375" s="287"/>
      <c r="G375" s="287"/>
      <c r="H375" s="287"/>
      <c r="I375" t="s">
        <v>382</v>
      </c>
      <c r="J375" t="s">
        <v>42</v>
      </c>
    </row>
    <row r="376" spans="1:10" x14ac:dyDescent="0.25">
      <c r="A376" t="s">
        <v>396</v>
      </c>
      <c r="C376" s="286">
        <v>42194.861307870371</v>
      </c>
      <c r="D376" t="s">
        <v>382</v>
      </c>
      <c r="E376">
        <v>0</v>
      </c>
      <c r="F376" s="287"/>
      <c r="G376" s="287"/>
      <c r="H376" s="287"/>
      <c r="I376" t="s">
        <v>382</v>
      </c>
      <c r="J376" t="s">
        <v>42</v>
      </c>
    </row>
    <row r="377" spans="1:10" x14ac:dyDescent="0.25">
      <c r="A377" t="s">
        <v>396</v>
      </c>
      <c r="C377" s="286">
        <v>42196.918773148151</v>
      </c>
      <c r="D377" t="s">
        <v>382</v>
      </c>
      <c r="E377">
        <v>0</v>
      </c>
      <c r="F377" s="287"/>
      <c r="G377" s="287"/>
      <c r="H377" s="287"/>
      <c r="I377" t="s">
        <v>382</v>
      </c>
      <c r="J377" t="s">
        <v>42</v>
      </c>
    </row>
    <row r="378" spans="1:10" x14ac:dyDescent="0.25">
      <c r="A378" t="s">
        <v>396</v>
      </c>
      <c r="C378" s="286">
        <v>42197.369143518517</v>
      </c>
      <c r="D378" t="s">
        <v>382</v>
      </c>
      <c r="E378">
        <v>0</v>
      </c>
      <c r="F378" s="287"/>
      <c r="G378" s="287"/>
      <c r="H378" s="287"/>
      <c r="I378" t="s">
        <v>382</v>
      </c>
      <c r="J378" t="s">
        <v>42</v>
      </c>
    </row>
    <row r="379" spans="1:10" x14ac:dyDescent="0.25">
      <c r="A379" t="s">
        <v>396</v>
      </c>
      <c r="C379" s="286">
        <v>42198.432268518518</v>
      </c>
      <c r="D379" t="s">
        <v>382</v>
      </c>
      <c r="E379">
        <v>0</v>
      </c>
      <c r="F379" s="287"/>
      <c r="G379" s="287"/>
      <c r="H379" s="287"/>
      <c r="I379" t="s">
        <v>382</v>
      </c>
      <c r="J379" t="s">
        <v>42</v>
      </c>
    </row>
    <row r="380" spans="1:10" x14ac:dyDescent="0.25">
      <c r="A380" t="s">
        <v>396</v>
      </c>
      <c r="C380" s="286">
        <v>42200.839479166665</v>
      </c>
      <c r="D380" t="s">
        <v>382</v>
      </c>
      <c r="E380">
        <v>0</v>
      </c>
      <c r="F380" s="287"/>
      <c r="G380" s="287"/>
      <c r="H380" s="287"/>
      <c r="I380" t="s">
        <v>382</v>
      </c>
      <c r="J380" t="s">
        <v>42</v>
      </c>
    </row>
    <row r="381" spans="1:10" x14ac:dyDescent="0.25">
      <c r="A381" t="s">
        <v>390</v>
      </c>
      <c r="C381" s="286">
        <v>42200.851446759261</v>
      </c>
      <c r="D381" t="s">
        <v>382</v>
      </c>
      <c r="E381">
        <v>0</v>
      </c>
      <c r="F381" s="287"/>
      <c r="G381" s="287"/>
      <c r="H381" s="287"/>
      <c r="I381" t="s">
        <v>382</v>
      </c>
      <c r="J381" t="s">
        <v>42</v>
      </c>
    </row>
    <row r="382" spans="1:10" x14ac:dyDescent="0.25">
      <c r="A382" t="s">
        <v>390</v>
      </c>
      <c r="C382" s="286">
        <v>42200.95484953704</v>
      </c>
      <c r="D382" t="s">
        <v>382</v>
      </c>
      <c r="E382">
        <v>0</v>
      </c>
      <c r="F382" s="287"/>
      <c r="G382" s="287"/>
      <c r="H382" s="287"/>
      <c r="I382" t="s">
        <v>382</v>
      </c>
      <c r="J382" t="s">
        <v>42</v>
      </c>
    </row>
    <row r="383" spans="1:10" x14ac:dyDescent="0.25">
      <c r="A383" t="s">
        <v>396</v>
      </c>
      <c r="C383" s="286">
        <v>42202.843530092592</v>
      </c>
      <c r="D383" t="s">
        <v>382</v>
      </c>
      <c r="E383">
        <v>0</v>
      </c>
      <c r="F383" s="287"/>
      <c r="G383" s="287"/>
      <c r="H383" s="287"/>
      <c r="I383" t="s">
        <v>382</v>
      </c>
      <c r="J383" t="s">
        <v>42</v>
      </c>
    </row>
    <row r="384" spans="1:10" x14ac:dyDescent="0.25">
      <c r="A384" t="s">
        <v>396</v>
      </c>
      <c r="C384" s="286">
        <v>42204.85125</v>
      </c>
      <c r="D384" t="s">
        <v>382</v>
      </c>
      <c r="E384">
        <v>0</v>
      </c>
      <c r="F384" s="287"/>
      <c r="G384" s="287"/>
      <c r="H384" s="287"/>
      <c r="I384" t="s">
        <v>382</v>
      </c>
      <c r="J384" t="s">
        <v>42</v>
      </c>
    </row>
    <row r="385" spans="1:10" x14ac:dyDescent="0.25">
      <c r="A385" t="s">
        <v>396</v>
      </c>
      <c r="C385" s="286">
        <v>42206.802303240744</v>
      </c>
      <c r="D385" t="s">
        <v>382</v>
      </c>
      <c r="E385">
        <v>0</v>
      </c>
      <c r="F385" s="287"/>
      <c r="G385" s="287"/>
      <c r="H385" s="287"/>
      <c r="I385" t="s">
        <v>382</v>
      </c>
      <c r="J385" t="s">
        <v>42</v>
      </c>
    </row>
    <row r="386" spans="1:10" x14ac:dyDescent="0.25">
      <c r="A386" t="s">
        <v>390</v>
      </c>
      <c r="C386" s="286">
        <v>42208.13077546296</v>
      </c>
      <c r="D386" t="s">
        <v>382</v>
      </c>
      <c r="E386">
        <v>0</v>
      </c>
      <c r="F386" s="287"/>
      <c r="G386" s="287"/>
      <c r="H386" s="287"/>
      <c r="I386" t="s">
        <v>382</v>
      </c>
      <c r="J386" t="s">
        <v>42</v>
      </c>
    </row>
    <row r="387" spans="1:10" x14ac:dyDescent="0.25">
      <c r="A387" t="s">
        <v>396</v>
      </c>
      <c r="C387" s="286">
        <v>42208.817708333336</v>
      </c>
      <c r="D387" t="s">
        <v>382</v>
      </c>
      <c r="E387">
        <v>0</v>
      </c>
      <c r="F387" s="287"/>
      <c r="G387" s="287"/>
      <c r="H387" s="287"/>
      <c r="I387" t="s">
        <v>382</v>
      </c>
      <c r="J387" t="s">
        <v>42</v>
      </c>
    </row>
    <row r="388" spans="1:10" x14ac:dyDescent="0.25">
      <c r="A388" t="s">
        <v>396</v>
      </c>
      <c r="C388" s="286">
        <v>42210.826180555552</v>
      </c>
      <c r="D388" t="s">
        <v>382</v>
      </c>
      <c r="E388">
        <v>0</v>
      </c>
      <c r="F388" s="287"/>
      <c r="G388" s="287"/>
      <c r="H388" s="287"/>
      <c r="I388" t="s">
        <v>382</v>
      </c>
      <c r="J388" t="s">
        <v>42</v>
      </c>
    </row>
    <row r="389" spans="1:10" x14ac:dyDescent="0.25">
      <c r="A389" t="s">
        <v>396</v>
      </c>
      <c r="C389" s="286">
        <v>42210.827638888892</v>
      </c>
      <c r="D389" t="s">
        <v>382</v>
      </c>
      <c r="E389">
        <v>0</v>
      </c>
      <c r="F389" s="287"/>
      <c r="G389" s="287"/>
      <c r="H389" s="287"/>
      <c r="I389" t="s">
        <v>382</v>
      </c>
      <c r="J389" t="s">
        <v>42</v>
      </c>
    </row>
    <row r="390" spans="1:10" x14ac:dyDescent="0.25">
      <c r="A390" t="s">
        <v>390</v>
      </c>
      <c r="C390" s="286">
        <v>42211.824016203704</v>
      </c>
      <c r="D390" t="s">
        <v>382</v>
      </c>
      <c r="E390">
        <v>0</v>
      </c>
      <c r="F390" s="287"/>
      <c r="G390" s="287"/>
      <c r="H390" s="287"/>
      <c r="I390" t="s">
        <v>382</v>
      </c>
      <c r="J390" t="s">
        <v>42</v>
      </c>
    </row>
    <row r="391" spans="1:10" x14ac:dyDescent="0.25">
      <c r="A391" t="s">
        <v>396</v>
      </c>
      <c r="C391" s="286">
        <v>42212.80128472222</v>
      </c>
      <c r="D391" t="s">
        <v>382</v>
      </c>
      <c r="E391">
        <v>0</v>
      </c>
      <c r="F391" s="287"/>
      <c r="G391" s="287"/>
      <c r="H391" s="287"/>
      <c r="I391" t="s">
        <v>382</v>
      </c>
      <c r="J391" t="s">
        <v>42</v>
      </c>
    </row>
    <row r="392" spans="1:10" x14ac:dyDescent="0.25">
      <c r="A392" t="s">
        <v>390</v>
      </c>
      <c r="C392" s="286">
        <v>42212.838645833333</v>
      </c>
      <c r="D392" t="s">
        <v>382</v>
      </c>
      <c r="E392">
        <v>0</v>
      </c>
      <c r="F392" s="287"/>
      <c r="G392" s="287"/>
      <c r="H392" s="287"/>
      <c r="I392" t="s">
        <v>382</v>
      </c>
      <c r="J392" t="s">
        <v>42</v>
      </c>
    </row>
    <row r="393" spans="1:10" x14ac:dyDescent="0.25">
      <c r="A393" t="s">
        <v>390</v>
      </c>
      <c r="C393" s="286">
        <v>42213.818877314814</v>
      </c>
      <c r="D393" t="s">
        <v>382</v>
      </c>
      <c r="E393">
        <v>0</v>
      </c>
      <c r="F393" s="287"/>
      <c r="G393" s="287"/>
      <c r="H393" s="287"/>
      <c r="I393" t="s">
        <v>382</v>
      </c>
      <c r="J393" t="s">
        <v>42</v>
      </c>
    </row>
    <row r="394" spans="1:10" x14ac:dyDescent="0.25">
      <c r="A394" t="s">
        <v>390</v>
      </c>
      <c r="C394" s="286">
        <v>42214.692708333336</v>
      </c>
      <c r="D394" t="s">
        <v>382</v>
      </c>
      <c r="E394">
        <v>0</v>
      </c>
      <c r="F394" s="287"/>
      <c r="G394" s="287"/>
      <c r="H394" s="287"/>
      <c r="I394" t="s">
        <v>382</v>
      </c>
      <c r="J394" t="s">
        <v>42</v>
      </c>
    </row>
    <row r="395" spans="1:10" x14ac:dyDescent="0.25">
      <c r="A395" t="s">
        <v>396</v>
      </c>
      <c r="C395" s="286">
        <v>42214.779143518521</v>
      </c>
      <c r="D395" t="s">
        <v>382</v>
      </c>
      <c r="E395">
        <v>0</v>
      </c>
      <c r="F395" s="287"/>
      <c r="G395" s="287"/>
      <c r="H395" s="287"/>
      <c r="I395" t="s">
        <v>382</v>
      </c>
      <c r="J395" t="s">
        <v>42</v>
      </c>
    </row>
    <row r="396" spans="1:10" x14ac:dyDescent="0.25">
      <c r="A396" t="s">
        <v>390</v>
      </c>
      <c r="C396" s="286">
        <v>42214.807951388888</v>
      </c>
      <c r="D396" t="s">
        <v>382</v>
      </c>
      <c r="E396">
        <v>0</v>
      </c>
      <c r="F396" s="287"/>
      <c r="G396" s="287"/>
      <c r="H396" s="287"/>
      <c r="I396" t="s">
        <v>382</v>
      </c>
      <c r="J396" t="s">
        <v>42</v>
      </c>
    </row>
    <row r="397" spans="1:10" x14ac:dyDescent="0.25">
      <c r="A397" t="s">
        <v>390</v>
      </c>
      <c r="C397" s="286">
        <v>42214.821666666663</v>
      </c>
      <c r="D397" t="s">
        <v>382</v>
      </c>
      <c r="E397">
        <v>0</v>
      </c>
      <c r="F397" s="287"/>
      <c r="G397" s="287"/>
      <c r="H397" s="287"/>
      <c r="I397" t="s">
        <v>382</v>
      </c>
      <c r="J397" t="s">
        <v>42</v>
      </c>
    </row>
    <row r="398" spans="1:10" x14ac:dyDescent="0.25">
      <c r="A398" t="s">
        <v>390</v>
      </c>
      <c r="C398" s="286">
        <v>42215.801458333335</v>
      </c>
      <c r="D398" t="s">
        <v>382</v>
      </c>
      <c r="E398">
        <v>0</v>
      </c>
      <c r="F398" s="287"/>
      <c r="G398" s="287"/>
      <c r="H398" s="287"/>
      <c r="I398" t="s">
        <v>382</v>
      </c>
      <c r="J398" t="s">
        <v>42</v>
      </c>
    </row>
    <row r="399" spans="1:10" x14ac:dyDescent="0.25">
      <c r="A399" t="s">
        <v>404</v>
      </c>
      <c r="C399" s="286">
        <v>42216.541284722225</v>
      </c>
      <c r="D399" t="s">
        <v>382</v>
      </c>
      <c r="E399">
        <v>0</v>
      </c>
      <c r="F399" s="287"/>
      <c r="G399" s="287"/>
      <c r="H399" s="287"/>
      <c r="I399" t="s">
        <v>382</v>
      </c>
      <c r="J399" t="s">
        <v>42</v>
      </c>
    </row>
    <row r="400" spans="1:10" x14ac:dyDescent="0.25">
      <c r="A400" t="s">
        <v>390</v>
      </c>
      <c r="C400" s="286">
        <v>42216.779664351852</v>
      </c>
      <c r="D400" t="s">
        <v>382</v>
      </c>
      <c r="E400">
        <v>0</v>
      </c>
      <c r="F400" s="287"/>
      <c r="G400" s="287"/>
      <c r="H400" s="287"/>
      <c r="I400" t="s">
        <v>382</v>
      </c>
      <c r="J400" t="s">
        <v>42</v>
      </c>
    </row>
    <row r="401" spans="1:10" x14ac:dyDescent="0.25">
      <c r="A401" t="s">
        <v>396</v>
      </c>
      <c r="C401" s="286">
        <v>42216.82267361111</v>
      </c>
      <c r="D401" t="s">
        <v>382</v>
      </c>
      <c r="E401">
        <v>0</v>
      </c>
      <c r="F401" s="287"/>
      <c r="G401" s="287"/>
      <c r="H401" s="287"/>
      <c r="I401" t="s">
        <v>382</v>
      </c>
      <c r="J401" t="s">
        <v>42</v>
      </c>
    </row>
    <row r="402" spans="1:10" x14ac:dyDescent="0.25">
      <c r="A402" t="s">
        <v>390</v>
      </c>
      <c r="C402" s="286">
        <v>42217.82880787037</v>
      </c>
      <c r="D402" t="s">
        <v>382</v>
      </c>
      <c r="E402">
        <v>0</v>
      </c>
      <c r="F402" s="287"/>
      <c r="G402" s="287"/>
      <c r="H402" s="287"/>
      <c r="I402" t="s">
        <v>382</v>
      </c>
      <c r="J402" t="s">
        <v>42</v>
      </c>
    </row>
    <row r="403" spans="1:10" x14ac:dyDescent="0.25">
      <c r="A403" t="s">
        <v>390</v>
      </c>
      <c r="C403" s="286">
        <v>42218.778171296297</v>
      </c>
      <c r="D403" t="s">
        <v>382</v>
      </c>
      <c r="E403">
        <v>0</v>
      </c>
      <c r="F403" s="287"/>
      <c r="G403" s="287"/>
      <c r="H403" s="287"/>
      <c r="I403" t="s">
        <v>382</v>
      </c>
      <c r="J403" t="s">
        <v>42</v>
      </c>
    </row>
    <row r="404" spans="1:10" x14ac:dyDescent="0.25">
      <c r="A404" t="s">
        <v>396</v>
      </c>
      <c r="C404" s="286">
        <v>42218.855046296296</v>
      </c>
      <c r="D404" t="s">
        <v>382</v>
      </c>
      <c r="E404">
        <v>0</v>
      </c>
      <c r="F404" s="287"/>
      <c r="G404" s="287"/>
      <c r="H404" s="287"/>
      <c r="I404" t="s">
        <v>382</v>
      </c>
      <c r="J404" t="s">
        <v>42</v>
      </c>
    </row>
    <row r="405" spans="1:10" x14ac:dyDescent="0.25">
      <c r="A405" t="s">
        <v>390</v>
      </c>
      <c r="C405" s="286">
        <v>42219.773449074077</v>
      </c>
      <c r="D405" t="s">
        <v>382</v>
      </c>
      <c r="E405">
        <v>0</v>
      </c>
      <c r="F405" s="287"/>
      <c r="G405" s="287"/>
      <c r="H405" s="287"/>
      <c r="I405" t="s">
        <v>382</v>
      </c>
      <c r="J405" t="s">
        <v>42</v>
      </c>
    </row>
    <row r="406" spans="1:10" x14ac:dyDescent="0.25">
      <c r="A406" t="s">
        <v>396</v>
      </c>
      <c r="C406" s="286">
        <v>42220.865601851852</v>
      </c>
      <c r="D406" t="s">
        <v>382</v>
      </c>
      <c r="E406">
        <v>0</v>
      </c>
      <c r="F406" s="287"/>
      <c r="G406" s="287"/>
      <c r="H406" s="287"/>
      <c r="I406" t="s">
        <v>382</v>
      </c>
      <c r="J406" t="s">
        <v>42</v>
      </c>
    </row>
    <row r="407" spans="1:10" x14ac:dyDescent="0.25">
      <c r="A407" t="s">
        <v>390</v>
      </c>
      <c r="C407" s="286">
        <v>42221.737766203703</v>
      </c>
      <c r="D407" t="s">
        <v>382</v>
      </c>
      <c r="E407">
        <v>0</v>
      </c>
      <c r="F407" s="287"/>
      <c r="G407" s="287"/>
      <c r="H407" s="287"/>
      <c r="I407" t="s">
        <v>382</v>
      </c>
      <c r="J407" t="s">
        <v>42</v>
      </c>
    </row>
    <row r="408" spans="1:10" x14ac:dyDescent="0.25">
      <c r="A408" t="s">
        <v>390</v>
      </c>
      <c r="C408" s="286">
        <v>42221.845729166664</v>
      </c>
      <c r="D408" t="s">
        <v>382</v>
      </c>
      <c r="E408">
        <v>0</v>
      </c>
      <c r="F408" s="287"/>
      <c r="G408" s="287"/>
      <c r="H408" s="287"/>
      <c r="I408" t="s">
        <v>382</v>
      </c>
      <c r="J408" t="s">
        <v>42</v>
      </c>
    </row>
    <row r="409" spans="1:10" x14ac:dyDescent="0.25">
      <c r="A409" t="s">
        <v>396</v>
      </c>
      <c r="C409" s="286">
        <v>42222.857662037037</v>
      </c>
      <c r="D409" t="s">
        <v>382</v>
      </c>
      <c r="E409">
        <v>0</v>
      </c>
      <c r="F409" s="287"/>
      <c r="G409" s="287"/>
      <c r="H409" s="287"/>
      <c r="I409" t="s">
        <v>382</v>
      </c>
      <c r="J409" t="s">
        <v>42</v>
      </c>
    </row>
    <row r="410" spans="1:10" x14ac:dyDescent="0.25">
      <c r="A410" t="s">
        <v>390</v>
      </c>
      <c r="C410" s="286">
        <v>42222.918541666666</v>
      </c>
      <c r="D410" t="s">
        <v>382</v>
      </c>
      <c r="E410">
        <v>0</v>
      </c>
      <c r="F410" s="287"/>
      <c r="G410" s="287"/>
      <c r="H410" s="287"/>
      <c r="I410" t="s">
        <v>382</v>
      </c>
      <c r="J410" t="s">
        <v>42</v>
      </c>
    </row>
    <row r="411" spans="1:10" x14ac:dyDescent="0.25">
      <c r="A411" t="s">
        <v>390</v>
      </c>
      <c r="C411" s="286">
        <v>42223.530659722222</v>
      </c>
      <c r="D411" t="s">
        <v>382</v>
      </c>
      <c r="E411">
        <v>0</v>
      </c>
      <c r="F411" s="287"/>
      <c r="G411" s="287"/>
      <c r="H411" s="287"/>
      <c r="I411" t="s">
        <v>382</v>
      </c>
      <c r="J411" t="s">
        <v>42</v>
      </c>
    </row>
    <row r="412" spans="1:10" x14ac:dyDescent="0.25">
      <c r="A412" t="s">
        <v>390</v>
      </c>
      <c r="C412" s="286">
        <v>42223.577928240738</v>
      </c>
      <c r="D412" t="s">
        <v>382</v>
      </c>
      <c r="E412">
        <v>0</v>
      </c>
      <c r="F412" s="287"/>
      <c r="G412" s="287"/>
      <c r="H412" s="287"/>
      <c r="I412" t="s">
        <v>382</v>
      </c>
      <c r="J412" t="s">
        <v>42</v>
      </c>
    </row>
    <row r="413" spans="1:10" x14ac:dyDescent="0.25">
      <c r="A413" t="s">
        <v>390</v>
      </c>
      <c r="C413" s="286">
        <v>42223.896168981482</v>
      </c>
      <c r="D413" t="s">
        <v>382</v>
      </c>
      <c r="E413">
        <v>0</v>
      </c>
      <c r="F413" s="287"/>
      <c r="G413" s="287"/>
      <c r="H413" s="287"/>
      <c r="I413" t="s">
        <v>382</v>
      </c>
      <c r="J413" t="s">
        <v>42</v>
      </c>
    </row>
    <row r="414" spans="1:10" x14ac:dyDescent="0.25">
      <c r="A414" t="s">
        <v>390</v>
      </c>
      <c r="C414" s="286">
        <v>42224.788043981483</v>
      </c>
      <c r="D414" t="s">
        <v>382</v>
      </c>
      <c r="E414">
        <v>0</v>
      </c>
      <c r="F414" s="287"/>
      <c r="G414" s="287"/>
      <c r="H414" s="287"/>
      <c r="I414" t="s">
        <v>382</v>
      </c>
      <c r="J414" t="s">
        <v>42</v>
      </c>
    </row>
    <row r="415" spans="1:10" x14ac:dyDescent="0.25">
      <c r="A415" t="s">
        <v>396</v>
      </c>
      <c r="C415" s="286">
        <v>42224.825578703705</v>
      </c>
      <c r="D415" t="s">
        <v>382</v>
      </c>
      <c r="E415">
        <v>0</v>
      </c>
      <c r="F415" s="287"/>
      <c r="G415" s="287"/>
      <c r="H415" s="287"/>
      <c r="I415" t="s">
        <v>382</v>
      </c>
      <c r="J415" t="s">
        <v>42</v>
      </c>
    </row>
    <row r="416" spans="1:10" x14ac:dyDescent="0.25">
      <c r="A416" t="s">
        <v>406</v>
      </c>
      <c r="C416" s="286">
        <v>42225.404710648145</v>
      </c>
      <c r="D416" t="s">
        <v>382</v>
      </c>
      <c r="E416">
        <v>0</v>
      </c>
      <c r="F416" s="287"/>
      <c r="G416" s="287"/>
      <c r="H416" s="287"/>
      <c r="I416" t="s">
        <v>382</v>
      </c>
      <c r="J416" t="s">
        <v>42</v>
      </c>
    </row>
    <row r="417" spans="1:10" x14ac:dyDescent="0.25">
      <c r="A417" t="s">
        <v>394</v>
      </c>
      <c r="C417" s="286">
        <v>42225.538645833331</v>
      </c>
      <c r="D417" t="s">
        <v>382</v>
      </c>
      <c r="E417">
        <v>0</v>
      </c>
      <c r="F417" s="287"/>
      <c r="G417" s="287"/>
      <c r="H417" s="287"/>
      <c r="I417" t="s">
        <v>382</v>
      </c>
      <c r="J417" t="s">
        <v>42</v>
      </c>
    </row>
    <row r="418" spans="1:10" x14ac:dyDescent="0.25">
      <c r="A418" t="s">
        <v>390</v>
      </c>
      <c r="C418" s="286">
        <v>42225.825474537036</v>
      </c>
      <c r="D418" t="s">
        <v>382</v>
      </c>
      <c r="E418">
        <v>0</v>
      </c>
      <c r="F418" s="287"/>
      <c r="G418" s="287"/>
      <c r="H418" s="287"/>
      <c r="I418" t="s">
        <v>382</v>
      </c>
      <c r="J418" t="s">
        <v>42</v>
      </c>
    </row>
    <row r="419" spans="1:10" x14ac:dyDescent="0.25">
      <c r="A419" t="s">
        <v>390</v>
      </c>
      <c r="C419" s="286">
        <v>42226.765196759261</v>
      </c>
      <c r="D419" t="s">
        <v>382</v>
      </c>
      <c r="E419">
        <v>0</v>
      </c>
      <c r="F419" s="287"/>
      <c r="G419" s="287"/>
      <c r="H419" s="287"/>
      <c r="I419" t="s">
        <v>382</v>
      </c>
      <c r="J419" t="s">
        <v>42</v>
      </c>
    </row>
    <row r="420" spans="1:10" x14ac:dyDescent="0.25">
      <c r="A420" t="s">
        <v>396</v>
      </c>
      <c r="C420" s="286">
        <v>42226.819884259261</v>
      </c>
      <c r="D420" t="s">
        <v>382</v>
      </c>
      <c r="E420">
        <v>0</v>
      </c>
      <c r="F420" s="287"/>
      <c r="G420" s="287"/>
      <c r="H420" s="287"/>
      <c r="I420" t="s">
        <v>382</v>
      </c>
      <c r="J420" t="s">
        <v>42</v>
      </c>
    </row>
    <row r="421" spans="1:10" x14ac:dyDescent="0.25">
      <c r="A421" t="s">
        <v>390</v>
      </c>
      <c r="C421" s="286">
        <v>42227.822939814818</v>
      </c>
      <c r="D421" t="s">
        <v>382</v>
      </c>
      <c r="E421">
        <v>0</v>
      </c>
      <c r="F421" s="287"/>
      <c r="G421" s="287"/>
      <c r="H421" s="287"/>
      <c r="I421" t="s">
        <v>382</v>
      </c>
      <c r="J421" t="s">
        <v>42</v>
      </c>
    </row>
    <row r="422" spans="1:10" x14ac:dyDescent="0.25">
      <c r="A422" t="s">
        <v>396</v>
      </c>
      <c r="C422" s="286">
        <v>42228.823587962965</v>
      </c>
      <c r="D422" t="s">
        <v>382</v>
      </c>
      <c r="E422">
        <v>0</v>
      </c>
      <c r="F422" s="287"/>
      <c r="G422" s="287"/>
      <c r="H422" s="287"/>
      <c r="I422" t="s">
        <v>382</v>
      </c>
      <c r="J422" t="s">
        <v>42</v>
      </c>
    </row>
    <row r="423" spans="1:10" x14ac:dyDescent="0.25">
      <c r="A423" t="s">
        <v>390</v>
      </c>
      <c r="C423" s="286">
        <v>42228.871041666665</v>
      </c>
      <c r="D423" t="s">
        <v>382</v>
      </c>
      <c r="E423">
        <v>0</v>
      </c>
      <c r="F423" s="287"/>
      <c r="G423" s="287"/>
      <c r="H423" s="287"/>
      <c r="I423" t="s">
        <v>382</v>
      </c>
      <c r="J423" t="s">
        <v>42</v>
      </c>
    </row>
    <row r="424" spans="1:10" x14ac:dyDescent="0.25">
      <c r="A424" t="s">
        <v>390</v>
      </c>
      <c r="C424" s="286">
        <v>42229.469340277778</v>
      </c>
      <c r="D424" t="s">
        <v>382</v>
      </c>
      <c r="E424">
        <v>0</v>
      </c>
      <c r="F424" s="287"/>
      <c r="G424" s="287"/>
      <c r="H424" s="287"/>
      <c r="I424" t="s">
        <v>382</v>
      </c>
      <c r="J424" t="s">
        <v>42</v>
      </c>
    </row>
    <row r="425" spans="1:10" x14ac:dyDescent="0.25">
      <c r="A425" t="s">
        <v>390</v>
      </c>
      <c r="C425" s="286">
        <v>42229.732986111114</v>
      </c>
      <c r="D425" t="s">
        <v>382</v>
      </c>
      <c r="E425">
        <v>0</v>
      </c>
      <c r="F425" s="287"/>
      <c r="G425" s="287"/>
      <c r="H425" s="287"/>
      <c r="I425" t="s">
        <v>382</v>
      </c>
      <c r="J425" t="s">
        <v>42</v>
      </c>
    </row>
    <row r="426" spans="1:10" x14ac:dyDescent="0.25">
      <c r="A426" t="s">
        <v>390</v>
      </c>
      <c r="C426" s="286">
        <v>42229.846284722225</v>
      </c>
      <c r="D426" t="s">
        <v>382</v>
      </c>
      <c r="E426">
        <v>0</v>
      </c>
      <c r="F426" s="287"/>
      <c r="G426" s="287"/>
      <c r="H426" s="287"/>
      <c r="I426" t="s">
        <v>382</v>
      </c>
      <c r="J426" t="s">
        <v>42</v>
      </c>
    </row>
    <row r="427" spans="1:10" x14ac:dyDescent="0.25">
      <c r="A427" t="s">
        <v>390</v>
      </c>
      <c r="C427" s="286">
        <v>42230.791388888887</v>
      </c>
      <c r="D427" t="s">
        <v>382</v>
      </c>
      <c r="E427">
        <v>0</v>
      </c>
      <c r="F427" s="287"/>
      <c r="G427" s="287"/>
      <c r="H427" s="287"/>
      <c r="I427" t="s">
        <v>382</v>
      </c>
      <c r="J427" t="s">
        <v>42</v>
      </c>
    </row>
    <row r="428" spans="1:10" x14ac:dyDescent="0.25">
      <c r="A428" t="s">
        <v>396</v>
      </c>
      <c r="C428" s="286">
        <v>42230.841979166667</v>
      </c>
      <c r="D428" t="s">
        <v>382</v>
      </c>
      <c r="E428">
        <v>0</v>
      </c>
      <c r="F428" s="287"/>
      <c r="G428" s="287"/>
      <c r="H428" s="287"/>
      <c r="I428" t="s">
        <v>382</v>
      </c>
      <c r="J428" t="s">
        <v>42</v>
      </c>
    </row>
    <row r="429" spans="1:10" x14ac:dyDescent="0.25">
      <c r="A429" t="s">
        <v>390</v>
      </c>
      <c r="C429" s="286">
        <v>42231.807557870372</v>
      </c>
      <c r="D429" t="s">
        <v>382</v>
      </c>
      <c r="E429">
        <v>0</v>
      </c>
      <c r="F429" s="287"/>
      <c r="G429" s="287"/>
      <c r="H429" s="287"/>
      <c r="I429" t="s">
        <v>382</v>
      </c>
      <c r="J429" t="s">
        <v>42</v>
      </c>
    </row>
    <row r="430" spans="1:10" x14ac:dyDescent="0.25">
      <c r="A430" t="s">
        <v>406</v>
      </c>
      <c r="C430" s="286">
        <v>42231.878182870372</v>
      </c>
      <c r="D430" t="s">
        <v>382</v>
      </c>
      <c r="E430">
        <v>0</v>
      </c>
      <c r="F430" s="287"/>
      <c r="G430" s="287"/>
      <c r="H430" s="287"/>
      <c r="I430" t="s">
        <v>382</v>
      </c>
      <c r="J430" t="s">
        <v>42</v>
      </c>
    </row>
    <row r="431" spans="1:10" x14ac:dyDescent="0.25">
      <c r="A431" t="s">
        <v>396</v>
      </c>
      <c r="C431" s="286">
        <v>42232.835127314815</v>
      </c>
      <c r="D431" t="s">
        <v>382</v>
      </c>
      <c r="E431">
        <v>0</v>
      </c>
      <c r="F431" s="287"/>
      <c r="G431" s="287"/>
      <c r="H431" s="287"/>
      <c r="I431" t="s">
        <v>382</v>
      </c>
      <c r="J431" t="s">
        <v>42</v>
      </c>
    </row>
    <row r="432" spans="1:10" x14ac:dyDescent="0.25">
      <c r="A432" t="s">
        <v>396</v>
      </c>
      <c r="C432" s="286">
        <v>42233.439074074071</v>
      </c>
      <c r="D432" t="s">
        <v>382</v>
      </c>
      <c r="E432">
        <v>0</v>
      </c>
      <c r="F432" s="287"/>
      <c r="G432" s="287"/>
      <c r="H432" s="287"/>
      <c r="I432" t="s">
        <v>382</v>
      </c>
      <c r="J432" t="s">
        <v>42</v>
      </c>
    </row>
    <row r="433" spans="1:10" x14ac:dyDescent="0.25">
      <c r="A433" t="s">
        <v>390</v>
      </c>
      <c r="C433" s="286">
        <v>42233.822638888887</v>
      </c>
      <c r="D433" t="s">
        <v>382</v>
      </c>
      <c r="E433">
        <v>0</v>
      </c>
      <c r="F433" s="287"/>
      <c r="G433" s="287"/>
      <c r="H433" s="287"/>
      <c r="I433" t="s">
        <v>382</v>
      </c>
      <c r="J433" t="s">
        <v>42</v>
      </c>
    </row>
    <row r="434" spans="1:10" x14ac:dyDescent="0.25">
      <c r="A434" t="s">
        <v>396</v>
      </c>
      <c r="C434" s="286">
        <v>42234.835312499999</v>
      </c>
      <c r="D434" t="s">
        <v>382</v>
      </c>
      <c r="E434">
        <v>0</v>
      </c>
      <c r="F434" s="287"/>
      <c r="G434" s="287"/>
      <c r="H434" s="287"/>
      <c r="I434" t="s">
        <v>382</v>
      </c>
      <c r="J434" t="s">
        <v>42</v>
      </c>
    </row>
    <row r="435" spans="1:10" x14ac:dyDescent="0.25">
      <c r="A435" t="s">
        <v>390</v>
      </c>
      <c r="C435" s="286">
        <v>42234.880879629629</v>
      </c>
      <c r="D435" t="s">
        <v>382</v>
      </c>
      <c r="E435">
        <v>0</v>
      </c>
      <c r="F435" s="287"/>
      <c r="G435" s="287"/>
      <c r="H435" s="287"/>
      <c r="I435" t="s">
        <v>382</v>
      </c>
      <c r="J435" t="s">
        <v>42</v>
      </c>
    </row>
    <row r="436" spans="1:10" x14ac:dyDescent="0.25">
      <c r="A436" t="s">
        <v>390</v>
      </c>
      <c r="C436" s="286">
        <v>42235.730682870373</v>
      </c>
      <c r="D436" t="s">
        <v>382</v>
      </c>
      <c r="E436">
        <v>0</v>
      </c>
      <c r="F436" s="287"/>
      <c r="G436" s="287"/>
      <c r="H436" s="287"/>
      <c r="I436" t="s">
        <v>382</v>
      </c>
      <c r="J436" t="s">
        <v>42</v>
      </c>
    </row>
    <row r="437" spans="1:10" x14ac:dyDescent="0.25">
      <c r="A437" t="s">
        <v>390</v>
      </c>
      <c r="C437" s="286">
        <v>42236.675092592595</v>
      </c>
      <c r="D437" t="s">
        <v>382</v>
      </c>
      <c r="E437">
        <v>0</v>
      </c>
      <c r="F437" s="287"/>
      <c r="G437" s="287"/>
      <c r="H437" s="287"/>
      <c r="I437" t="s">
        <v>382</v>
      </c>
      <c r="J437" t="s">
        <v>42</v>
      </c>
    </row>
    <row r="438" spans="1:10" x14ac:dyDescent="0.25">
      <c r="A438" t="s">
        <v>396</v>
      </c>
      <c r="C438" s="286">
        <v>42236.856157407405</v>
      </c>
      <c r="D438" t="s">
        <v>382</v>
      </c>
      <c r="E438">
        <v>0</v>
      </c>
      <c r="F438" s="287"/>
      <c r="G438" s="287"/>
      <c r="H438" s="287"/>
      <c r="I438" t="s">
        <v>382</v>
      </c>
      <c r="J438" t="s">
        <v>42</v>
      </c>
    </row>
    <row r="439" spans="1:10" x14ac:dyDescent="0.25">
      <c r="A439" t="s">
        <v>390</v>
      </c>
      <c r="C439" s="286">
        <v>42237.784907407404</v>
      </c>
      <c r="D439" t="s">
        <v>382</v>
      </c>
      <c r="E439">
        <v>0</v>
      </c>
      <c r="F439" s="287"/>
      <c r="G439" s="287"/>
      <c r="H439" s="287"/>
      <c r="I439" t="s">
        <v>382</v>
      </c>
      <c r="J439" t="s">
        <v>42</v>
      </c>
    </row>
    <row r="440" spans="1:10" x14ac:dyDescent="0.25">
      <c r="A440" t="s">
        <v>406</v>
      </c>
      <c r="C440" s="286">
        <v>42238.130023148151</v>
      </c>
      <c r="D440" t="s">
        <v>382</v>
      </c>
      <c r="E440">
        <v>0</v>
      </c>
      <c r="F440" s="287"/>
      <c r="G440" s="287"/>
      <c r="H440" s="287"/>
      <c r="I440" t="s">
        <v>382</v>
      </c>
      <c r="J440" t="s">
        <v>42</v>
      </c>
    </row>
    <row r="441" spans="1:10" x14ac:dyDescent="0.25">
      <c r="A441" t="s">
        <v>390</v>
      </c>
      <c r="C441" s="286">
        <v>42238.311620370368</v>
      </c>
      <c r="D441" t="s">
        <v>382</v>
      </c>
      <c r="E441">
        <v>0</v>
      </c>
      <c r="F441" s="287"/>
      <c r="G441" s="287"/>
      <c r="H441" s="287"/>
      <c r="I441" t="s">
        <v>382</v>
      </c>
      <c r="J441" t="s">
        <v>42</v>
      </c>
    </row>
    <row r="442" spans="1:10" x14ac:dyDescent="0.25">
      <c r="A442" t="s">
        <v>390</v>
      </c>
      <c r="C442" s="286">
        <v>42238.794016203705</v>
      </c>
      <c r="D442" t="s">
        <v>382</v>
      </c>
      <c r="E442">
        <v>0</v>
      </c>
      <c r="F442" s="287"/>
      <c r="G442" s="287"/>
      <c r="H442" s="287"/>
      <c r="I442" t="s">
        <v>382</v>
      </c>
      <c r="J442" t="s">
        <v>42</v>
      </c>
    </row>
    <row r="443" spans="1:10" x14ac:dyDescent="0.25">
      <c r="A443" t="s">
        <v>396</v>
      </c>
      <c r="C443" s="286">
        <v>42238.794699074075</v>
      </c>
      <c r="D443" t="s">
        <v>382</v>
      </c>
      <c r="E443">
        <v>0</v>
      </c>
      <c r="F443" s="287"/>
      <c r="G443" s="287"/>
      <c r="H443" s="287"/>
      <c r="I443" t="s">
        <v>382</v>
      </c>
      <c r="J443" t="s">
        <v>42</v>
      </c>
    </row>
    <row r="444" spans="1:10" x14ac:dyDescent="0.25">
      <c r="A444" t="s">
        <v>390</v>
      </c>
      <c r="C444" s="286">
        <v>42239.766087962962</v>
      </c>
      <c r="D444" t="s">
        <v>382</v>
      </c>
      <c r="E444">
        <v>0</v>
      </c>
      <c r="F444" s="287"/>
      <c r="G444" s="287"/>
      <c r="H444" s="287"/>
      <c r="I444" t="s">
        <v>382</v>
      </c>
      <c r="J444" t="s">
        <v>42</v>
      </c>
    </row>
    <row r="445" spans="1:10" x14ac:dyDescent="0.25">
      <c r="A445" t="s">
        <v>390</v>
      </c>
      <c r="C445" s="286">
        <v>42240.830474537041</v>
      </c>
      <c r="D445" t="s">
        <v>382</v>
      </c>
      <c r="E445">
        <v>0</v>
      </c>
      <c r="F445" s="287"/>
      <c r="G445" s="287"/>
      <c r="H445" s="287"/>
      <c r="I445" t="s">
        <v>382</v>
      </c>
      <c r="J445" t="s">
        <v>42</v>
      </c>
    </row>
    <row r="446" spans="1:10" x14ac:dyDescent="0.25">
      <c r="A446" t="s">
        <v>396</v>
      </c>
      <c r="C446" s="286">
        <v>42240.843622685185</v>
      </c>
      <c r="D446" t="s">
        <v>382</v>
      </c>
      <c r="E446">
        <v>0</v>
      </c>
      <c r="F446" s="287"/>
      <c r="G446" s="287"/>
      <c r="H446" s="287"/>
      <c r="I446" t="s">
        <v>382</v>
      </c>
      <c r="J446" t="s">
        <v>42</v>
      </c>
    </row>
    <row r="447" spans="1:10" x14ac:dyDescent="0.25">
      <c r="A447" t="s">
        <v>406</v>
      </c>
      <c r="C447" s="286">
        <v>42240.882627314815</v>
      </c>
      <c r="D447" t="s">
        <v>382</v>
      </c>
      <c r="E447">
        <v>0</v>
      </c>
      <c r="F447" s="287"/>
      <c r="G447" s="287"/>
      <c r="H447" s="287"/>
      <c r="I447" t="s">
        <v>382</v>
      </c>
      <c r="J447" t="s">
        <v>42</v>
      </c>
    </row>
    <row r="448" spans="1:10" x14ac:dyDescent="0.25">
      <c r="A448" t="s">
        <v>390</v>
      </c>
      <c r="C448" s="286">
        <v>42241.804097222222</v>
      </c>
      <c r="D448" t="s">
        <v>382</v>
      </c>
      <c r="E448">
        <v>0</v>
      </c>
      <c r="F448" s="287"/>
      <c r="G448" s="287"/>
      <c r="H448" s="287"/>
      <c r="I448" t="s">
        <v>382</v>
      </c>
      <c r="J448" t="s">
        <v>42</v>
      </c>
    </row>
    <row r="449" spans="1:10" x14ac:dyDescent="0.25">
      <c r="A449" t="s">
        <v>390</v>
      </c>
      <c r="C449" s="286">
        <v>42242.757245370369</v>
      </c>
      <c r="D449" t="s">
        <v>382</v>
      </c>
      <c r="E449">
        <v>0</v>
      </c>
      <c r="F449" s="287"/>
      <c r="G449" s="287"/>
      <c r="H449" s="287"/>
      <c r="I449" t="s">
        <v>382</v>
      </c>
      <c r="J449" t="s">
        <v>42</v>
      </c>
    </row>
    <row r="450" spans="1:10" x14ac:dyDescent="0.25">
      <c r="A450" t="s">
        <v>396</v>
      </c>
      <c r="C450" s="286">
        <v>42242.854189814818</v>
      </c>
      <c r="D450" t="s">
        <v>382</v>
      </c>
      <c r="E450">
        <v>0</v>
      </c>
      <c r="F450" s="287"/>
      <c r="G450" s="287"/>
      <c r="H450" s="287"/>
      <c r="I450" t="s">
        <v>382</v>
      </c>
      <c r="J450" t="s">
        <v>42</v>
      </c>
    </row>
    <row r="451" spans="1:10" x14ac:dyDescent="0.25">
      <c r="A451" t="s">
        <v>390</v>
      </c>
      <c r="C451" s="286">
        <v>42242.860972222225</v>
      </c>
      <c r="D451" t="s">
        <v>382</v>
      </c>
      <c r="E451">
        <v>0</v>
      </c>
      <c r="F451" s="287"/>
      <c r="G451" s="287"/>
      <c r="H451" s="287"/>
      <c r="I451" t="s">
        <v>382</v>
      </c>
      <c r="J451" t="s">
        <v>42</v>
      </c>
    </row>
    <row r="452" spans="1:10" x14ac:dyDescent="0.25">
      <c r="A452" t="s">
        <v>390</v>
      </c>
      <c r="C452" s="286">
        <v>42243.333715277775</v>
      </c>
      <c r="D452" t="s">
        <v>382</v>
      </c>
      <c r="E452">
        <v>0</v>
      </c>
      <c r="F452" s="287"/>
      <c r="G452" s="287"/>
      <c r="H452" s="287"/>
      <c r="I452" t="s">
        <v>382</v>
      </c>
      <c r="J452" t="s">
        <v>42</v>
      </c>
    </row>
    <row r="453" spans="1:10" x14ac:dyDescent="0.25">
      <c r="A453" t="s">
        <v>390</v>
      </c>
      <c r="C453" s="286">
        <v>42243.780162037037</v>
      </c>
      <c r="D453" t="s">
        <v>382</v>
      </c>
      <c r="E453">
        <v>0</v>
      </c>
      <c r="F453" s="287"/>
      <c r="G453" s="287"/>
      <c r="H453" s="287"/>
      <c r="I453" t="s">
        <v>382</v>
      </c>
      <c r="J453" t="s">
        <v>42</v>
      </c>
    </row>
    <row r="454" spans="1:10" x14ac:dyDescent="0.25">
      <c r="A454" t="s">
        <v>404</v>
      </c>
      <c r="C454" s="286">
        <v>42244.224444444444</v>
      </c>
      <c r="D454" t="s">
        <v>382</v>
      </c>
      <c r="E454">
        <v>0</v>
      </c>
      <c r="F454" s="287"/>
      <c r="G454" s="287"/>
      <c r="H454" s="287"/>
      <c r="I454" t="s">
        <v>382</v>
      </c>
      <c r="J454" t="s">
        <v>42</v>
      </c>
    </row>
    <row r="455" spans="1:10" x14ac:dyDescent="0.25">
      <c r="A455" t="s">
        <v>396</v>
      </c>
      <c r="C455" s="286">
        <v>42244.830347222225</v>
      </c>
      <c r="D455" t="s">
        <v>382</v>
      </c>
      <c r="E455">
        <v>0</v>
      </c>
      <c r="F455" s="287"/>
      <c r="G455" s="287"/>
      <c r="H455" s="287"/>
      <c r="I455" t="s">
        <v>382</v>
      </c>
      <c r="J455" t="s">
        <v>42</v>
      </c>
    </row>
    <row r="456" spans="1:10" x14ac:dyDescent="0.25">
      <c r="A456" t="s">
        <v>406</v>
      </c>
      <c r="C456" s="286">
        <v>42245.732627314814</v>
      </c>
      <c r="D456" t="s">
        <v>382</v>
      </c>
      <c r="E456">
        <v>0</v>
      </c>
      <c r="F456" s="287"/>
      <c r="G456" s="287"/>
      <c r="H456" s="287"/>
      <c r="I456" t="s">
        <v>382</v>
      </c>
      <c r="J456" t="s">
        <v>42</v>
      </c>
    </row>
    <row r="457" spans="1:10" x14ac:dyDescent="0.25">
      <c r="A457" t="s">
        <v>390</v>
      </c>
      <c r="C457" s="286">
        <v>42245.851956018516</v>
      </c>
      <c r="D457" t="s">
        <v>382</v>
      </c>
      <c r="E457">
        <v>0</v>
      </c>
      <c r="F457" s="287"/>
      <c r="G457" s="287"/>
      <c r="H457" s="287"/>
      <c r="I457" t="s">
        <v>382</v>
      </c>
      <c r="J457" t="s">
        <v>42</v>
      </c>
    </row>
    <row r="458" spans="1:10" x14ac:dyDescent="0.25">
      <c r="A458" t="s">
        <v>390</v>
      </c>
      <c r="C458" s="286">
        <v>42246.673113425924</v>
      </c>
      <c r="D458" t="s">
        <v>382</v>
      </c>
      <c r="E458">
        <v>0</v>
      </c>
      <c r="F458" s="287"/>
      <c r="G458" s="287"/>
      <c r="H458" s="287"/>
      <c r="I458" t="s">
        <v>382</v>
      </c>
      <c r="J458" t="s">
        <v>42</v>
      </c>
    </row>
    <row r="459" spans="1:10" x14ac:dyDescent="0.25">
      <c r="A459" t="s">
        <v>396</v>
      </c>
      <c r="C459" s="286">
        <v>42246.774814814817</v>
      </c>
      <c r="D459" t="s">
        <v>382</v>
      </c>
      <c r="E459">
        <v>0</v>
      </c>
      <c r="F459" s="287"/>
      <c r="G459" s="287"/>
      <c r="H459" s="287"/>
      <c r="I459" t="s">
        <v>382</v>
      </c>
      <c r="J459" t="s">
        <v>42</v>
      </c>
    </row>
    <row r="460" spans="1:10" x14ac:dyDescent="0.25">
      <c r="A460" t="s">
        <v>390</v>
      </c>
      <c r="C460" s="286">
        <v>42248.660277777781</v>
      </c>
      <c r="D460" t="s">
        <v>382</v>
      </c>
      <c r="E460">
        <v>0</v>
      </c>
      <c r="F460" s="287"/>
      <c r="G460" s="287"/>
      <c r="H460" s="287"/>
      <c r="I460" t="s">
        <v>382</v>
      </c>
      <c r="J460" t="s">
        <v>42</v>
      </c>
    </row>
    <row r="461" spans="1:10" x14ac:dyDescent="0.25">
      <c r="A461" t="s">
        <v>390</v>
      </c>
      <c r="C461" s="286">
        <v>42248.660300925927</v>
      </c>
      <c r="D461" t="s">
        <v>382</v>
      </c>
      <c r="E461">
        <v>0</v>
      </c>
      <c r="F461" s="287"/>
      <c r="G461" s="287"/>
      <c r="H461" s="287"/>
      <c r="I461" t="s">
        <v>382</v>
      </c>
      <c r="J461" t="s">
        <v>42</v>
      </c>
    </row>
    <row r="462" spans="1:10" x14ac:dyDescent="0.25">
      <c r="A462" t="s">
        <v>396</v>
      </c>
      <c r="C462" s="286">
        <v>42248.79859953704</v>
      </c>
      <c r="D462" t="s">
        <v>382</v>
      </c>
      <c r="E462">
        <v>0</v>
      </c>
      <c r="F462" s="287"/>
      <c r="G462" s="287"/>
      <c r="H462" s="287"/>
      <c r="I462" t="s">
        <v>382</v>
      </c>
      <c r="J462" t="s">
        <v>42</v>
      </c>
    </row>
    <row r="463" spans="1:10" x14ac:dyDescent="0.25">
      <c r="A463" t="s">
        <v>390</v>
      </c>
      <c r="C463" s="286">
        <v>42248.819212962961</v>
      </c>
      <c r="D463" t="s">
        <v>382</v>
      </c>
      <c r="E463">
        <v>0</v>
      </c>
      <c r="F463" s="287"/>
      <c r="G463" s="287"/>
      <c r="H463" s="287"/>
      <c r="I463" t="s">
        <v>382</v>
      </c>
      <c r="J463" t="s">
        <v>42</v>
      </c>
    </row>
    <row r="464" spans="1:10" x14ac:dyDescent="0.25">
      <c r="A464" t="s">
        <v>390</v>
      </c>
      <c r="C464" s="286">
        <v>42248.819293981483</v>
      </c>
      <c r="D464" t="s">
        <v>382</v>
      </c>
      <c r="E464">
        <v>0</v>
      </c>
      <c r="F464" s="287"/>
      <c r="G464" s="287"/>
      <c r="H464" s="287"/>
      <c r="I464" t="s">
        <v>382</v>
      </c>
      <c r="J464" t="s">
        <v>42</v>
      </c>
    </row>
    <row r="465" spans="1:10" x14ac:dyDescent="0.25">
      <c r="A465" t="s">
        <v>390</v>
      </c>
      <c r="C465" s="286">
        <v>42249.773981481485</v>
      </c>
      <c r="D465" t="s">
        <v>382</v>
      </c>
      <c r="E465">
        <v>0</v>
      </c>
      <c r="F465" s="287"/>
      <c r="G465" s="287"/>
      <c r="H465" s="287"/>
      <c r="I465" t="s">
        <v>382</v>
      </c>
      <c r="J465" t="s">
        <v>42</v>
      </c>
    </row>
    <row r="466" spans="1:10" x14ac:dyDescent="0.25">
      <c r="A466" t="s">
        <v>390</v>
      </c>
      <c r="C466" s="286">
        <v>42249.89303240741</v>
      </c>
      <c r="D466" t="s">
        <v>382</v>
      </c>
      <c r="E466">
        <v>0</v>
      </c>
      <c r="F466" s="287"/>
      <c r="G466" s="287"/>
      <c r="H466" s="287"/>
      <c r="I466" t="s">
        <v>382</v>
      </c>
      <c r="J466" t="s">
        <v>42</v>
      </c>
    </row>
    <row r="467" spans="1:10" x14ac:dyDescent="0.25">
      <c r="A467" t="s">
        <v>390</v>
      </c>
      <c r="C467" s="286">
        <v>42250.064513888887</v>
      </c>
      <c r="D467" t="s">
        <v>382</v>
      </c>
      <c r="E467">
        <v>0</v>
      </c>
      <c r="F467" s="287"/>
      <c r="G467" s="287"/>
      <c r="H467" s="287"/>
      <c r="I467" t="s">
        <v>382</v>
      </c>
      <c r="J467" t="s">
        <v>42</v>
      </c>
    </row>
    <row r="468" spans="1:10" x14ac:dyDescent="0.25">
      <c r="A468" t="s">
        <v>390</v>
      </c>
      <c r="C468" s="286">
        <v>42250.7731712963</v>
      </c>
      <c r="D468" t="s">
        <v>382</v>
      </c>
      <c r="E468">
        <v>0</v>
      </c>
      <c r="F468" s="287"/>
      <c r="G468" s="287"/>
      <c r="H468" s="287"/>
      <c r="I468" t="s">
        <v>382</v>
      </c>
      <c r="J468" t="s">
        <v>42</v>
      </c>
    </row>
    <row r="469" spans="1:10" x14ac:dyDescent="0.25">
      <c r="A469" t="s">
        <v>396</v>
      </c>
      <c r="C469" s="286">
        <v>42250.852175925924</v>
      </c>
      <c r="D469" t="s">
        <v>382</v>
      </c>
      <c r="E469">
        <v>0</v>
      </c>
      <c r="F469" s="287"/>
      <c r="G469" s="287"/>
      <c r="H469" s="287"/>
      <c r="I469" t="s">
        <v>382</v>
      </c>
      <c r="J469" t="s">
        <v>42</v>
      </c>
    </row>
    <row r="470" spans="1:10" x14ac:dyDescent="0.25">
      <c r="A470" t="s">
        <v>406</v>
      </c>
      <c r="C470" s="286">
        <v>42251.614328703705</v>
      </c>
      <c r="D470" t="s">
        <v>382</v>
      </c>
      <c r="E470">
        <v>0</v>
      </c>
      <c r="F470" s="287"/>
      <c r="G470" s="287"/>
      <c r="H470" s="287"/>
      <c r="I470" t="s">
        <v>382</v>
      </c>
      <c r="J470" t="s">
        <v>42</v>
      </c>
    </row>
    <row r="471" spans="1:10" x14ac:dyDescent="0.25">
      <c r="A471" t="s">
        <v>390</v>
      </c>
      <c r="C471" s="286">
        <v>42251.784988425927</v>
      </c>
      <c r="D471" t="s">
        <v>382</v>
      </c>
      <c r="E471">
        <v>0</v>
      </c>
      <c r="F471" s="287"/>
      <c r="G471" s="287"/>
      <c r="H471" s="287"/>
      <c r="I471" t="s">
        <v>382</v>
      </c>
      <c r="J471" t="s">
        <v>42</v>
      </c>
    </row>
    <row r="472" spans="1:10" x14ac:dyDescent="0.25">
      <c r="A472" t="s">
        <v>406</v>
      </c>
      <c r="C472" s="286">
        <v>42252.121944444443</v>
      </c>
      <c r="D472" t="s">
        <v>382</v>
      </c>
      <c r="E472">
        <v>0</v>
      </c>
      <c r="F472" s="287"/>
      <c r="G472" s="287"/>
      <c r="H472" s="287"/>
      <c r="I472" t="s">
        <v>382</v>
      </c>
      <c r="J472" t="s">
        <v>42</v>
      </c>
    </row>
    <row r="473" spans="1:10" x14ac:dyDescent="0.25">
      <c r="A473" t="s">
        <v>396</v>
      </c>
      <c r="C473" s="286">
        <v>42252.775648148148</v>
      </c>
      <c r="D473" t="s">
        <v>382</v>
      </c>
      <c r="E473">
        <v>0</v>
      </c>
      <c r="F473" s="287"/>
      <c r="G473" s="287"/>
      <c r="H473" s="287"/>
      <c r="I473" t="s">
        <v>382</v>
      </c>
      <c r="J473" t="s">
        <v>42</v>
      </c>
    </row>
    <row r="474" spans="1:10" x14ac:dyDescent="0.25">
      <c r="A474" t="s">
        <v>390</v>
      </c>
      <c r="C474" s="286">
        <v>42252.815034722225</v>
      </c>
      <c r="D474" t="s">
        <v>382</v>
      </c>
      <c r="E474">
        <v>0</v>
      </c>
      <c r="F474" s="287"/>
      <c r="G474" s="287"/>
      <c r="H474" s="287"/>
      <c r="I474" t="s">
        <v>382</v>
      </c>
      <c r="J474" t="s">
        <v>42</v>
      </c>
    </row>
    <row r="475" spans="1:10" x14ac:dyDescent="0.25">
      <c r="A475" t="s">
        <v>390</v>
      </c>
      <c r="C475" s="286">
        <v>42253.741550925923</v>
      </c>
      <c r="D475" t="s">
        <v>382</v>
      </c>
      <c r="E475">
        <v>0</v>
      </c>
      <c r="F475" s="287"/>
      <c r="G475" s="287"/>
      <c r="H475" s="287"/>
      <c r="I475" t="s">
        <v>382</v>
      </c>
      <c r="J475" t="s">
        <v>42</v>
      </c>
    </row>
    <row r="476" spans="1:10" x14ac:dyDescent="0.25">
      <c r="A476" t="s">
        <v>396</v>
      </c>
      <c r="C476" s="286">
        <v>42254.784548611111</v>
      </c>
      <c r="D476" t="s">
        <v>382</v>
      </c>
      <c r="E476">
        <v>0</v>
      </c>
      <c r="F476" s="287"/>
      <c r="G476" s="287"/>
      <c r="H476" s="287"/>
      <c r="I476" t="s">
        <v>382</v>
      </c>
      <c r="J476" t="s">
        <v>42</v>
      </c>
    </row>
    <row r="477" spans="1:10" x14ac:dyDescent="0.25">
      <c r="A477" t="s">
        <v>390</v>
      </c>
      <c r="C477" s="286">
        <v>42254.797638888886</v>
      </c>
      <c r="D477" t="s">
        <v>382</v>
      </c>
      <c r="E477">
        <v>0</v>
      </c>
      <c r="F477" s="287"/>
      <c r="G477" s="287"/>
      <c r="H477" s="287"/>
      <c r="I477" t="s">
        <v>382</v>
      </c>
      <c r="J477" t="s">
        <v>42</v>
      </c>
    </row>
    <row r="478" spans="1:10" x14ac:dyDescent="0.25">
      <c r="A478" t="s">
        <v>390</v>
      </c>
      <c r="C478" s="286">
        <v>42255.800555555557</v>
      </c>
      <c r="D478" t="s">
        <v>382</v>
      </c>
      <c r="E478">
        <v>0</v>
      </c>
      <c r="F478" s="287"/>
      <c r="G478" s="287"/>
      <c r="H478" s="287"/>
      <c r="I478" t="s">
        <v>382</v>
      </c>
      <c r="J478" t="s">
        <v>42</v>
      </c>
    </row>
    <row r="479" spans="1:10" x14ac:dyDescent="0.25">
      <c r="A479" t="s">
        <v>390</v>
      </c>
      <c r="C479" s="286">
        <v>42256.712372685186</v>
      </c>
      <c r="D479" t="s">
        <v>382</v>
      </c>
      <c r="E479">
        <v>0</v>
      </c>
      <c r="F479" s="287"/>
      <c r="G479" s="287"/>
      <c r="H479" s="287"/>
      <c r="I479" t="s">
        <v>382</v>
      </c>
      <c r="J479" t="s">
        <v>42</v>
      </c>
    </row>
    <row r="480" spans="1:10" x14ac:dyDescent="0.25">
      <c r="A480" t="s">
        <v>390</v>
      </c>
      <c r="C480" s="286">
        <v>42256.834050925929</v>
      </c>
      <c r="D480" t="s">
        <v>382</v>
      </c>
      <c r="E480">
        <v>0</v>
      </c>
      <c r="F480" s="287"/>
      <c r="G480" s="287"/>
      <c r="H480" s="287"/>
      <c r="I480" t="s">
        <v>382</v>
      </c>
      <c r="J480" t="s">
        <v>42</v>
      </c>
    </row>
    <row r="481" spans="1:10" x14ac:dyDescent="0.25">
      <c r="A481" t="s">
        <v>396</v>
      </c>
      <c r="C481" s="286">
        <v>42256.848668981482</v>
      </c>
      <c r="D481" t="s">
        <v>382</v>
      </c>
      <c r="E481">
        <v>0</v>
      </c>
      <c r="F481" s="287"/>
      <c r="G481" s="287"/>
      <c r="H481" s="287"/>
      <c r="I481" t="s">
        <v>382</v>
      </c>
      <c r="J481" t="s">
        <v>42</v>
      </c>
    </row>
    <row r="482" spans="1:10" x14ac:dyDescent="0.25">
      <c r="A482" t="s">
        <v>390</v>
      </c>
      <c r="C482" s="286">
        <v>42257.049386574072</v>
      </c>
      <c r="D482" t="s">
        <v>382</v>
      </c>
      <c r="E482">
        <v>0</v>
      </c>
      <c r="F482" s="287"/>
      <c r="G482" s="287"/>
      <c r="H482" s="287"/>
      <c r="I482" t="s">
        <v>382</v>
      </c>
      <c r="J482" t="s">
        <v>42</v>
      </c>
    </row>
    <row r="483" spans="1:10" x14ac:dyDescent="0.25">
      <c r="A483" t="s">
        <v>390</v>
      </c>
      <c r="C483" s="286">
        <v>42257.83252314815</v>
      </c>
      <c r="D483" t="s">
        <v>382</v>
      </c>
      <c r="E483">
        <v>0</v>
      </c>
      <c r="F483" s="287"/>
      <c r="G483" s="287"/>
      <c r="H483" s="287"/>
      <c r="I483" t="s">
        <v>382</v>
      </c>
      <c r="J483" t="s">
        <v>42</v>
      </c>
    </row>
    <row r="484" spans="1:10" x14ac:dyDescent="0.25">
      <c r="A484" t="s">
        <v>390</v>
      </c>
      <c r="C484" s="286">
        <v>42258.7578125</v>
      </c>
      <c r="D484" t="s">
        <v>382</v>
      </c>
      <c r="E484">
        <v>0</v>
      </c>
      <c r="F484" s="287"/>
      <c r="G484" s="287"/>
      <c r="H484" s="287"/>
      <c r="I484" t="s">
        <v>382</v>
      </c>
      <c r="J484" t="s">
        <v>42</v>
      </c>
    </row>
    <row r="485" spans="1:10" x14ac:dyDescent="0.25">
      <c r="A485" t="s">
        <v>396</v>
      </c>
      <c r="C485" s="286">
        <v>42258.829050925924</v>
      </c>
      <c r="D485" t="s">
        <v>382</v>
      </c>
      <c r="E485">
        <v>0</v>
      </c>
      <c r="F485" s="287"/>
      <c r="G485" s="287"/>
      <c r="H485" s="287"/>
      <c r="I485" t="s">
        <v>382</v>
      </c>
      <c r="J485" t="s">
        <v>42</v>
      </c>
    </row>
    <row r="486" spans="1:10" x14ac:dyDescent="0.25">
      <c r="A486" t="s">
        <v>406</v>
      </c>
      <c r="C486" s="286">
        <v>42259.0159375</v>
      </c>
      <c r="D486" t="s">
        <v>382</v>
      </c>
      <c r="E486">
        <v>0</v>
      </c>
      <c r="F486" s="287"/>
      <c r="G486" s="287"/>
      <c r="H486" s="287"/>
      <c r="I486" t="s">
        <v>382</v>
      </c>
      <c r="J486" t="s">
        <v>42</v>
      </c>
    </row>
    <row r="487" spans="1:10" x14ac:dyDescent="0.25">
      <c r="A487" t="s">
        <v>390</v>
      </c>
      <c r="C487" s="286">
        <v>42259.768750000003</v>
      </c>
      <c r="D487" t="s">
        <v>382</v>
      </c>
      <c r="E487">
        <v>0</v>
      </c>
      <c r="F487" s="287"/>
      <c r="G487" s="287"/>
      <c r="H487" s="287"/>
      <c r="I487" t="s">
        <v>382</v>
      </c>
      <c r="J487" t="s">
        <v>42</v>
      </c>
    </row>
    <row r="488" spans="1:10" x14ac:dyDescent="0.25">
      <c r="A488" t="s">
        <v>390</v>
      </c>
      <c r="C488" s="286">
        <v>42260.800324074073</v>
      </c>
      <c r="D488" t="s">
        <v>382</v>
      </c>
      <c r="E488">
        <v>0</v>
      </c>
      <c r="F488" s="287"/>
      <c r="G488" s="287"/>
      <c r="H488" s="287"/>
      <c r="I488" t="s">
        <v>382</v>
      </c>
      <c r="J488" t="s">
        <v>42</v>
      </c>
    </row>
    <row r="489" spans="1:10" x14ac:dyDescent="0.25">
      <c r="A489" t="s">
        <v>396</v>
      </c>
      <c r="C489" s="286">
        <v>42260.830937500003</v>
      </c>
      <c r="D489" t="s">
        <v>382</v>
      </c>
      <c r="E489">
        <v>0</v>
      </c>
      <c r="F489" s="287"/>
      <c r="G489" s="287"/>
      <c r="H489" s="287"/>
      <c r="I489" t="s">
        <v>382</v>
      </c>
      <c r="J489" t="s">
        <v>42</v>
      </c>
    </row>
    <row r="490" spans="1:10" x14ac:dyDescent="0.25">
      <c r="A490" t="s">
        <v>390</v>
      </c>
      <c r="C490" s="286">
        <v>42260.885381944441</v>
      </c>
      <c r="D490" t="s">
        <v>382</v>
      </c>
      <c r="E490">
        <v>0</v>
      </c>
      <c r="F490" s="287"/>
      <c r="G490" s="287"/>
      <c r="H490" s="287"/>
      <c r="I490" t="s">
        <v>382</v>
      </c>
      <c r="J490" t="s">
        <v>42</v>
      </c>
    </row>
    <row r="491" spans="1:10" x14ac:dyDescent="0.25">
      <c r="A491" t="s">
        <v>390</v>
      </c>
      <c r="C491" s="286">
        <v>42261.757662037038</v>
      </c>
      <c r="D491" t="s">
        <v>382</v>
      </c>
      <c r="E491">
        <v>0</v>
      </c>
      <c r="F491" s="287"/>
      <c r="G491" s="287"/>
      <c r="H491" s="287"/>
      <c r="I491" t="s">
        <v>382</v>
      </c>
      <c r="J491" t="s">
        <v>42</v>
      </c>
    </row>
    <row r="492" spans="1:10" x14ac:dyDescent="0.25">
      <c r="A492" t="s">
        <v>396</v>
      </c>
      <c r="C492" s="286">
        <v>42262.781412037039</v>
      </c>
      <c r="D492" t="s">
        <v>382</v>
      </c>
      <c r="E492">
        <v>0</v>
      </c>
      <c r="F492" s="287"/>
      <c r="G492" s="287"/>
      <c r="H492" s="287"/>
      <c r="I492" t="s">
        <v>382</v>
      </c>
      <c r="J492" t="s">
        <v>42</v>
      </c>
    </row>
    <row r="493" spans="1:10" x14ac:dyDescent="0.25">
      <c r="A493" t="s">
        <v>390</v>
      </c>
      <c r="C493" s="286">
        <v>42262.816655092596</v>
      </c>
      <c r="D493" t="s">
        <v>382</v>
      </c>
      <c r="E493">
        <v>0</v>
      </c>
      <c r="F493" s="287"/>
      <c r="G493" s="287"/>
      <c r="H493" s="287"/>
      <c r="I493" t="s">
        <v>382</v>
      </c>
      <c r="J493" t="s">
        <v>42</v>
      </c>
    </row>
    <row r="494" spans="1:10" x14ac:dyDescent="0.25">
      <c r="A494" t="s">
        <v>390</v>
      </c>
      <c r="C494" s="286">
        <v>42263.768055555556</v>
      </c>
      <c r="D494" t="s">
        <v>382</v>
      </c>
      <c r="E494">
        <v>0</v>
      </c>
      <c r="F494" s="287"/>
      <c r="G494" s="287"/>
      <c r="H494" s="287"/>
      <c r="I494" t="s">
        <v>382</v>
      </c>
      <c r="J494" t="s">
        <v>42</v>
      </c>
    </row>
    <row r="495" spans="1:10" x14ac:dyDescent="0.25">
      <c r="A495" t="s">
        <v>390</v>
      </c>
      <c r="C495" s="286">
        <v>42263.836736111109</v>
      </c>
      <c r="D495" t="s">
        <v>382</v>
      </c>
      <c r="E495">
        <v>0</v>
      </c>
      <c r="F495" s="287"/>
      <c r="G495" s="287"/>
      <c r="H495" s="287"/>
      <c r="I495" t="s">
        <v>382</v>
      </c>
      <c r="J495" t="s">
        <v>42</v>
      </c>
    </row>
    <row r="496" spans="1:10" x14ac:dyDescent="0.25">
      <c r="A496" t="s">
        <v>390</v>
      </c>
      <c r="C496" s="286">
        <v>42263.86619212963</v>
      </c>
      <c r="D496" t="s">
        <v>382</v>
      </c>
      <c r="E496">
        <v>0</v>
      </c>
      <c r="F496" s="287"/>
      <c r="G496" s="287"/>
      <c r="H496" s="287"/>
      <c r="I496" t="s">
        <v>382</v>
      </c>
      <c r="J496" t="s">
        <v>42</v>
      </c>
    </row>
    <row r="497" spans="1:10" x14ac:dyDescent="0.25">
      <c r="A497" t="s">
        <v>390</v>
      </c>
      <c r="C497" s="286">
        <v>42264.801724537036</v>
      </c>
      <c r="D497" t="s">
        <v>382</v>
      </c>
      <c r="E497">
        <v>0</v>
      </c>
      <c r="F497" s="287"/>
      <c r="G497" s="287"/>
      <c r="H497" s="287"/>
      <c r="I497" t="s">
        <v>382</v>
      </c>
      <c r="J497" t="s">
        <v>42</v>
      </c>
    </row>
    <row r="498" spans="1:10" x14ac:dyDescent="0.25">
      <c r="A498" t="s">
        <v>396</v>
      </c>
      <c r="C498" s="286">
        <v>42264.802037037036</v>
      </c>
      <c r="D498" t="s">
        <v>382</v>
      </c>
      <c r="E498">
        <v>0</v>
      </c>
      <c r="F498" s="287"/>
      <c r="G498" s="287"/>
      <c r="H498" s="287"/>
      <c r="I498" t="s">
        <v>382</v>
      </c>
      <c r="J498" t="s">
        <v>42</v>
      </c>
    </row>
    <row r="499" spans="1:10" x14ac:dyDescent="0.25">
      <c r="A499" t="s">
        <v>390</v>
      </c>
      <c r="C499" s="286">
        <v>42265.850474537037</v>
      </c>
      <c r="D499" t="s">
        <v>382</v>
      </c>
      <c r="E499">
        <v>0</v>
      </c>
      <c r="F499" s="287"/>
      <c r="G499" s="287"/>
      <c r="H499" s="287"/>
      <c r="I499" t="s">
        <v>382</v>
      </c>
      <c r="J499" t="s">
        <v>42</v>
      </c>
    </row>
    <row r="500" spans="1:10" x14ac:dyDescent="0.25">
      <c r="A500" t="s">
        <v>390</v>
      </c>
      <c r="C500" s="286">
        <v>42266.73228009259</v>
      </c>
      <c r="D500" t="s">
        <v>382</v>
      </c>
      <c r="E500">
        <v>0</v>
      </c>
      <c r="F500" s="287"/>
      <c r="G500" s="287"/>
      <c r="H500" s="287"/>
      <c r="I500" t="s">
        <v>382</v>
      </c>
      <c r="J500" t="s">
        <v>42</v>
      </c>
    </row>
    <row r="501" spans="1:10" x14ac:dyDescent="0.25">
      <c r="A501" t="s">
        <v>396</v>
      </c>
      <c r="C501" s="286">
        <v>42266.789479166669</v>
      </c>
      <c r="D501" t="s">
        <v>382</v>
      </c>
      <c r="E501">
        <v>0</v>
      </c>
      <c r="F501" s="287"/>
      <c r="G501" s="287"/>
      <c r="H501" s="287"/>
      <c r="I501" t="s">
        <v>382</v>
      </c>
      <c r="J501" t="s">
        <v>42</v>
      </c>
    </row>
    <row r="502" spans="1:10" x14ac:dyDescent="0.25">
      <c r="A502" t="s">
        <v>406</v>
      </c>
      <c r="C502" s="286">
        <v>42266.839375000003</v>
      </c>
      <c r="D502" t="s">
        <v>382</v>
      </c>
      <c r="E502">
        <v>0</v>
      </c>
      <c r="F502" s="287"/>
      <c r="G502" s="287"/>
      <c r="H502" s="287"/>
      <c r="I502" t="s">
        <v>382</v>
      </c>
      <c r="J502" t="s">
        <v>42</v>
      </c>
    </row>
    <row r="503" spans="1:10" x14ac:dyDescent="0.25">
      <c r="A503" t="s">
        <v>390</v>
      </c>
      <c r="C503" s="286">
        <v>42267.740914351853</v>
      </c>
      <c r="D503" t="s">
        <v>382</v>
      </c>
      <c r="E503">
        <v>0</v>
      </c>
      <c r="F503" s="287"/>
      <c r="G503" s="287"/>
      <c r="H503" s="287"/>
      <c r="I503" t="s">
        <v>382</v>
      </c>
      <c r="J503" t="s">
        <v>42</v>
      </c>
    </row>
    <row r="504" spans="1:10" x14ac:dyDescent="0.25">
      <c r="A504" t="s">
        <v>407</v>
      </c>
      <c r="C504" s="286">
        <v>42267.741990740738</v>
      </c>
      <c r="D504" t="s">
        <v>382</v>
      </c>
      <c r="E504">
        <v>0</v>
      </c>
      <c r="F504" s="287"/>
      <c r="G504" s="287"/>
      <c r="H504" s="287"/>
      <c r="I504" t="s">
        <v>382</v>
      </c>
      <c r="J504" t="s">
        <v>42</v>
      </c>
    </row>
    <row r="505" spans="1:10" x14ac:dyDescent="0.25">
      <c r="A505" t="s">
        <v>396</v>
      </c>
      <c r="C505" s="286">
        <v>42268.824861111112</v>
      </c>
      <c r="D505" t="s">
        <v>382</v>
      </c>
      <c r="E505">
        <v>0</v>
      </c>
      <c r="F505" s="287"/>
      <c r="G505" s="287"/>
      <c r="H505" s="287"/>
      <c r="I505" t="s">
        <v>382</v>
      </c>
      <c r="J505" t="s">
        <v>42</v>
      </c>
    </row>
    <row r="506" spans="1:10" x14ac:dyDescent="0.25">
      <c r="A506" t="s">
        <v>390</v>
      </c>
      <c r="C506" s="286">
        <v>42268.90556712963</v>
      </c>
      <c r="D506" t="s">
        <v>382</v>
      </c>
      <c r="E506">
        <v>0</v>
      </c>
      <c r="F506" s="287"/>
      <c r="G506" s="287"/>
      <c r="H506" s="287"/>
      <c r="I506" t="s">
        <v>382</v>
      </c>
      <c r="J506" t="s">
        <v>42</v>
      </c>
    </row>
    <row r="507" spans="1:10" x14ac:dyDescent="0.25">
      <c r="A507" t="s">
        <v>390</v>
      </c>
      <c r="C507" s="286">
        <v>42269.741226851853</v>
      </c>
      <c r="D507" t="s">
        <v>382</v>
      </c>
      <c r="E507">
        <v>0</v>
      </c>
      <c r="F507" s="287"/>
      <c r="G507" s="287"/>
      <c r="H507" s="287"/>
      <c r="I507" t="s">
        <v>382</v>
      </c>
      <c r="J507" t="s">
        <v>42</v>
      </c>
    </row>
    <row r="508" spans="1:10" x14ac:dyDescent="0.25">
      <c r="A508" t="s">
        <v>390</v>
      </c>
      <c r="C508" s="286">
        <v>42270.731030092589</v>
      </c>
      <c r="D508" t="s">
        <v>382</v>
      </c>
      <c r="E508">
        <v>0</v>
      </c>
      <c r="F508" s="287"/>
      <c r="G508" s="287"/>
      <c r="H508" s="287"/>
      <c r="I508" t="s">
        <v>382</v>
      </c>
      <c r="J508" t="s">
        <v>42</v>
      </c>
    </row>
    <row r="509" spans="1:10" x14ac:dyDescent="0.25">
      <c r="A509" t="s">
        <v>390</v>
      </c>
      <c r="C509" s="286">
        <v>42270.835844907408</v>
      </c>
      <c r="D509" t="s">
        <v>382</v>
      </c>
      <c r="E509">
        <v>0</v>
      </c>
      <c r="F509" s="287"/>
      <c r="G509" s="287"/>
      <c r="H509" s="287"/>
      <c r="I509" t="s">
        <v>382</v>
      </c>
      <c r="J509" t="s">
        <v>42</v>
      </c>
    </row>
    <row r="510" spans="1:10" x14ac:dyDescent="0.25">
      <c r="A510" t="s">
        <v>396</v>
      </c>
      <c r="C510" s="286">
        <v>42270.845671296294</v>
      </c>
      <c r="D510" t="s">
        <v>382</v>
      </c>
      <c r="E510">
        <v>0</v>
      </c>
      <c r="F510" s="287"/>
      <c r="G510" s="287"/>
      <c r="H510" s="287"/>
      <c r="I510" t="s">
        <v>382</v>
      </c>
      <c r="J510" t="s">
        <v>42</v>
      </c>
    </row>
    <row r="511" spans="1:10" x14ac:dyDescent="0.25">
      <c r="A511" t="s">
        <v>390</v>
      </c>
      <c r="C511" s="286">
        <v>42271.097048611111</v>
      </c>
      <c r="D511" t="s">
        <v>382</v>
      </c>
      <c r="E511">
        <v>0</v>
      </c>
      <c r="F511" s="287"/>
      <c r="G511" s="287"/>
      <c r="H511" s="287"/>
      <c r="I511" t="s">
        <v>382</v>
      </c>
      <c r="J511" t="s">
        <v>42</v>
      </c>
    </row>
    <row r="512" spans="1:10" x14ac:dyDescent="0.25">
      <c r="A512" t="s">
        <v>390</v>
      </c>
      <c r="C512" s="286">
        <v>42271.760567129626</v>
      </c>
      <c r="D512" t="s">
        <v>382</v>
      </c>
      <c r="E512">
        <v>0</v>
      </c>
      <c r="F512" s="287"/>
      <c r="G512" s="287"/>
      <c r="H512" s="287"/>
      <c r="I512" t="s">
        <v>382</v>
      </c>
      <c r="J512" t="s">
        <v>42</v>
      </c>
    </row>
    <row r="513" spans="1:10" x14ac:dyDescent="0.25">
      <c r="A513" t="s">
        <v>404</v>
      </c>
      <c r="C513" s="286">
        <v>42272.135937500003</v>
      </c>
      <c r="D513" t="s">
        <v>382</v>
      </c>
      <c r="E513">
        <v>0</v>
      </c>
      <c r="F513" s="287"/>
      <c r="G513" s="287"/>
      <c r="H513" s="287"/>
      <c r="I513" t="s">
        <v>382</v>
      </c>
      <c r="J513" t="s">
        <v>42</v>
      </c>
    </row>
    <row r="514" spans="1:10" x14ac:dyDescent="0.25">
      <c r="A514" t="s">
        <v>390</v>
      </c>
      <c r="C514" s="286">
        <v>42272.746504629627</v>
      </c>
      <c r="D514" t="s">
        <v>382</v>
      </c>
      <c r="E514">
        <v>0</v>
      </c>
      <c r="F514" s="287"/>
      <c r="G514" s="287"/>
      <c r="H514" s="287"/>
      <c r="I514" t="s">
        <v>382</v>
      </c>
      <c r="J514" t="s">
        <v>42</v>
      </c>
    </row>
    <row r="515" spans="1:10" x14ac:dyDescent="0.25">
      <c r="A515" t="s">
        <v>396</v>
      </c>
      <c r="C515" s="286">
        <v>42273.037939814814</v>
      </c>
      <c r="D515" t="s">
        <v>382</v>
      </c>
      <c r="E515">
        <v>0</v>
      </c>
      <c r="F515" s="287"/>
      <c r="G515" s="287"/>
      <c r="H515" s="287"/>
      <c r="I515" t="s">
        <v>382</v>
      </c>
      <c r="J515" t="s">
        <v>42</v>
      </c>
    </row>
    <row r="516" spans="1:10" x14ac:dyDescent="0.25">
      <c r="A516" t="s">
        <v>390</v>
      </c>
      <c r="C516" s="286">
        <v>42273.818472222221</v>
      </c>
      <c r="D516" t="s">
        <v>382</v>
      </c>
      <c r="E516">
        <v>0</v>
      </c>
      <c r="F516" s="287"/>
      <c r="G516" s="287"/>
      <c r="H516" s="287"/>
      <c r="I516" t="s">
        <v>382</v>
      </c>
      <c r="J516" t="s">
        <v>42</v>
      </c>
    </row>
    <row r="517" spans="1:10" x14ac:dyDescent="0.25">
      <c r="A517" t="s">
        <v>406</v>
      </c>
      <c r="C517" s="286">
        <v>42273.824305555558</v>
      </c>
      <c r="D517" t="s">
        <v>382</v>
      </c>
      <c r="E517">
        <v>0</v>
      </c>
      <c r="F517" s="287"/>
      <c r="G517" s="287"/>
      <c r="H517" s="287"/>
      <c r="I517" t="s">
        <v>382</v>
      </c>
      <c r="J517" t="s">
        <v>42</v>
      </c>
    </row>
    <row r="518" spans="1:10" x14ac:dyDescent="0.25">
      <c r="A518" t="s">
        <v>390</v>
      </c>
      <c r="C518" s="286">
        <v>42274.742476851854</v>
      </c>
      <c r="D518" t="s">
        <v>382</v>
      </c>
      <c r="E518">
        <v>0</v>
      </c>
      <c r="F518" s="287"/>
      <c r="G518" s="287"/>
      <c r="H518" s="287"/>
      <c r="I518" t="s">
        <v>382</v>
      </c>
      <c r="J518" t="s">
        <v>42</v>
      </c>
    </row>
    <row r="519" spans="1:10" x14ac:dyDescent="0.25">
      <c r="A519" t="s">
        <v>396</v>
      </c>
      <c r="C519" s="286">
        <v>42274.782256944447</v>
      </c>
      <c r="D519" t="s">
        <v>382</v>
      </c>
      <c r="E519">
        <v>0</v>
      </c>
      <c r="F519" s="287"/>
      <c r="G519" s="287"/>
      <c r="H519" s="287"/>
      <c r="I519" t="s">
        <v>382</v>
      </c>
      <c r="J519" t="s">
        <v>42</v>
      </c>
    </row>
    <row r="520" spans="1:10" x14ac:dyDescent="0.25">
      <c r="A520" t="s">
        <v>390</v>
      </c>
      <c r="C520" s="286">
        <v>42276.682199074072</v>
      </c>
      <c r="D520" t="s">
        <v>382</v>
      </c>
      <c r="E520">
        <v>0</v>
      </c>
      <c r="F520" s="287"/>
      <c r="G520" s="287"/>
      <c r="H520" s="287"/>
      <c r="I520" t="s">
        <v>382</v>
      </c>
      <c r="J520" t="s">
        <v>42</v>
      </c>
    </row>
    <row r="521" spans="1:10" x14ac:dyDescent="0.25">
      <c r="A521" t="s">
        <v>396</v>
      </c>
      <c r="C521" s="286">
        <v>42276.824594907404</v>
      </c>
      <c r="D521" t="s">
        <v>382</v>
      </c>
      <c r="E521">
        <v>0</v>
      </c>
      <c r="F521" s="287"/>
      <c r="G521" s="287"/>
      <c r="H521" s="287"/>
      <c r="I521" t="s">
        <v>382</v>
      </c>
      <c r="J521" t="s">
        <v>42</v>
      </c>
    </row>
    <row r="522" spans="1:10" x14ac:dyDescent="0.25">
      <c r="A522" t="s">
        <v>390</v>
      </c>
      <c r="C522" s="286">
        <v>42276.860243055555</v>
      </c>
      <c r="D522" t="s">
        <v>382</v>
      </c>
      <c r="E522">
        <v>0</v>
      </c>
      <c r="F522" s="287"/>
      <c r="G522" s="287"/>
      <c r="H522" s="287"/>
      <c r="I522" t="s">
        <v>382</v>
      </c>
      <c r="J522" t="s">
        <v>42</v>
      </c>
    </row>
    <row r="523" spans="1:10" x14ac:dyDescent="0.25">
      <c r="A523" t="s">
        <v>390</v>
      </c>
      <c r="C523" s="286">
        <v>42277.705682870372</v>
      </c>
      <c r="D523" t="s">
        <v>382</v>
      </c>
      <c r="E523">
        <v>0</v>
      </c>
      <c r="F523" s="287"/>
      <c r="G523" s="287"/>
      <c r="H523" s="287"/>
      <c r="I523" t="s">
        <v>382</v>
      </c>
      <c r="J523" t="s">
        <v>42</v>
      </c>
    </row>
    <row r="524" spans="1:10" x14ac:dyDescent="0.25">
      <c r="A524" t="s">
        <v>390</v>
      </c>
      <c r="C524" s="286">
        <v>42277.842951388891</v>
      </c>
      <c r="D524" t="s">
        <v>382</v>
      </c>
      <c r="E524">
        <v>0</v>
      </c>
      <c r="F524" s="287"/>
      <c r="G524" s="287"/>
      <c r="H524" s="287"/>
      <c r="I524" t="s">
        <v>382</v>
      </c>
      <c r="J524" t="s">
        <v>42</v>
      </c>
    </row>
    <row r="525" spans="1:10" x14ac:dyDescent="0.25">
      <c r="A525" t="s">
        <v>390</v>
      </c>
      <c r="C525" s="286">
        <v>42278.3984375</v>
      </c>
      <c r="D525" t="s">
        <v>382</v>
      </c>
      <c r="E525">
        <v>0</v>
      </c>
      <c r="F525" s="287"/>
      <c r="G525" s="287"/>
      <c r="H525" s="287"/>
      <c r="I525" t="s">
        <v>382</v>
      </c>
      <c r="J525" t="s">
        <v>42</v>
      </c>
    </row>
    <row r="526" spans="1:10" x14ac:dyDescent="0.25">
      <c r="A526" t="s">
        <v>396</v>
      </c>
      <c r="C526" s="286">
        <v>42278.806655092594</v>
      </c>
      <c r="D526" t="s">
        <v>382</v>
      </c>
      <c r="E526">
        <v>0</v>
      </c>
      <c r="F526" s="287"/>
      <c r="G526" s="287"/>
      <c r="H526" s="287"/>
      <c r="I526" t="s">
        <v>382</v>
      </c>
      <c r="J526" t="s">
        <v>42</v>
      </c>
    </row>
    <row r="527" spans="1:10" x14ac:dyDescent="0.25">
      <c r="A527" t="s">
        <v>390</v>
      </c>
      <c r="C527" s="286">
        <v>42278.827719907407</v>
      </c>
      <c r="D527" t="s">
        <v>382</v>
      </c>
      <c r="E527">
        <v>0</v>
      </c>
      <c r="F527" s="287"/>
      <c r="G527" s="287"/>
      <c r="H527" s="287"/>
      <c r="I527" t="s">
        <v>382</v>
      </c>
      <c r="J527" t="s">
        <v>42</v>
      </c>
    </row>
    <row r="528" spans="1:10" x14ac:dyDescent="0.25">
      <c r="A528" t="s">
        <v>408</v>
      </c>
      <c r="C528" s="286">
        <v>42278.856273148151</v>
      </c>
      <c r="D528" t="s">
        <v>382</v>
      </c>
      <c r="E528">
        <v>0</v>
      </c>
      <c r="F528" s="287"/>
      <c r="G528" s="287"/>
      <c r="H528" s="287"/>
      <c r="I528" t="s">
        <v>382</v>
      </c>
      <c r="J528" t="s">
        <v>42</v>
      </c>
    </row>
    <row r="529" spans="1:10" x14ac:dyDescent="0.25">
      <c r="A529" t="s">
        <v>390</v>
      </c>
      <c r="C529" s="286">
        <v>42279.804710648146</v>
      </c>
      <c r="D529" t="s">
        <v>382</v>
      </c>
      <c r="E529">
        <v>0</v>
      </c>
      <c r="F529" s="287"/>
      <c r="G529" s="287"/>
      <c r="H529" s="287"/>
      <c r="I529" t="s">
        <v>382</v>
      </c>
      <c r="J529" t="s">
        <v>42</v>
      </c>
    </row>
    <row r="530" spans="1:10" x14ac:dyDescent="0.25">
      <c r="A530" t="s">
        <v>390</v>
      </c>
      <c r="C530" s="286">
        <v>42280.748472222222</v>
      </c>
      <c r="D530" t="s">
        <v>382</v>
      </c>
      <c r="E530">
        <v>0</v>
      </c>
      <c r="F530" s="287"/>
      <c r="G530" s="287"/>
      <c r="H530" s="287"/>
      <c r="I530" t="s">
        <v>382</v>
      </c>
      <c r="J530" t="s">
        <v>42</v>
      </c>
    </row>
    <row r="531" spans="1:10" x14ac:dyDescent="0.25">
      <c r="A531" t="s">
        <v>396</v>
      </c>
      <c r="C531" s="286">
        <v>42280.836655092593</v>
      </c>
      <c r="D531" t="s">
        <v>382</v>
      </c>
      <c r="E531">
        <v>0</v>
      </c>
      <c r="F531" s="287"/>
      <c r="G531" s="287"/>
      <c r="H531" s="287"/>
      <c r="I531" t="s">
        <v>382</v>
      </c>
      <c r="J531" t="s">
        <v>42</v>
      </c>
    </row>
    <row r="532" spans="1:10" x14ac:dyDescent="0.25">
      <c r="A532" t="s">
        <v>406</v>
      </c>
      <c r="C532" s="286">
        <v>42280.996516203704</v>
      </c>
      <c r="D532" t="s">
        <v>382</v>
      </c>
      <c r="E532">
        <v>0</v>
      </c>
      <c r="F532" s="287"/>
      <c r="G532" s="287"/>
      <c r="H532" s="287"/>
      <c r="I532" t="s">
        <v>382</v>
      </c>
      <c r="J532" t="s">
        <v>42</v>
      </c>
    </row>
    <row r="533" spans="1:10" x14ac:dyDescent="0.25">
      <c r="A533" t="s">
        <v>390</v>
      </c>
      <c r="C533" s="286">
        <v>42281.713402777779</v>
      </c>
      <c r="D533" t="s">
        <v>382</v>
      </c>
      <c r="E533">
        <v>0</v>
      </c>
      <c r="F533" s="287"/>
      <c r="G533" s="287"/>
      <c r="H533" s="287"/>
      <c r="I533" t="s">
        <v>382</v>
      </c>
      <c r="J533" t="s">
        <v>42</v>
      </c>
    </row>
    <row r="534" spans="1:10" x14ac:dyDescent="0.25">
      <c r="A534" t="s">
        <v>390</v>
      </c>
      <c r="C534" s="286">
        <v>42282.786921296298</v>
      </c>
      <c r="D534" t="s">
        <v>382</v>
      </c>
      <c r="E534">
        <v>0</v>
      </c>
      <c r="F534" s="287"/>
      <c r="G534" s="287"/>
      <c r="H534" s="287"/>
      <c r="I534" t="s">
        <v>382</v>
      </c>
      <c r="J534" t="s">
        <v>42</v>
      </c>
    </row>
    <row r="535" spans="1:10" x14ac:dyDescent="0.25">
      <c r="A535" t="s">
        <v>396</v>
      </c>
      <c r="C535" s="286">
        <v>42282.850706018522</v>
      </c>
      <c r="D535" t="s">
        <v>382</v>
      </c>
      <c r="E535">
        <v>0</v>
      </c>
      <c r="F535" s="287"/>
      <c r="G535" s="287"/>
      <c r="H535" s="287"/>
      <c r="I535" t="s">
        <v>382</v>
      </c>
      <c r="J535" t="s">
        <v>42</v>
      </c>
    </row>
    <row r="536" spans="1:10" x14ac:dyDescent="0.25">
      <c r="A536" t="s">
        <v>390</v>
      </c>
      <c r="C536" s="286">
        <v>42282.863634259258</v>
      </c>
      <c r="D536" t="s">
        <v>382</v>
      </c>
      <c r="E536">
        <v>0</v>
      </c>
      <c r="F536" s="287"/>
      <c r="G536" s="287"/>
      <c r="H536" s="287"/>
      <c r="I536" t="s">
        <v>382</v>
      </c>
      <c r="J536" t="s">
        <v>42</v>
      </c>
    </row>
    <row r="537" spans="1:10" x14ac:dyDescent="0.25">
      <c r="A537" t="s">
        <v>390</v>
      </c>
      <c r="C537" s="286">
        <v>42283.735185185185</v>
      </c>
      <c r="D537" t="s">
        <v>382</v>
      </c>
      <c r="E537">
        <v>0</v>
      </c>
      <c r="F537" s="287"/>
      <c r="G537" s="287"/>
      <c r="H537" s="287"/>
      <c r="I537" t="s">
        <v>382</v>
      </c>
      <c r="J537" t="s">
        <v>42</v>
      </c>
    </row>
    <row r="538" spans="1:10" x14ac:dyDescent="0.25">
      <c r="A538" t="s">
        <v>390</v>
      </c>
      <c r="C538" s="286">
        <v>42284.721504629626</v>
      </c>
      <c r="D538" t="s">
        <v>382</v>
      </c>
      <c r="E538">
        <v>0</v>
      </c>
      <c r="F538" s="287"/>
      <c r="G538" s="287"/>
      <c r="H538" s="287"/>
      <c r="I538" t="s">
        <v>382</v>
      </c>
      <c r="J538" t="s">
        <v>42</v>
      </c>
    </row>
    <row r="539" spans="1:10" x14ac:dyDescent="0.25">
      <c r="A539" t="s">
        <v>396</v>
      </c>
      <c r="C539" s="286">
        <v>42284.794722222221</v>
      </c>
      <c r="D539" t="s">
        <v>382</v>
      </c>
      <c r="E539">
        <v>0</v>
      </c>
      <c r="F539" s="287"/>
      <c r="G539" s="287"/>
      <c r="H539" s="287"/>
      <c r="I539" t="s">
        <v>382</v>
      </c>
      <c r="J539" t="s">
        <v>42</v>
      </c>
    </row>
    <row r="540" spans="1:10" x14ac:dyDescent="0.25">
      <c r="A540" t="s">
        <v>390</v>
      </c>
      <c r="C540" s="286">
        <v>42284.796736111108</v>
      </c>
      <c r="D540" t="s">
        <v>382</v>
      </c>
      <c r="E540">
        <v>0</v>
      </c>
      <c r="F540" s="287"/>
      <c r="G540" s="287"/>
      <c r="H540" s="287"/>
      <c r="I540" t="s">
        <v>382</v>
      </c>
      <c r="J540" t="s">
        <v>42</v>
      </c>
    </row>
    <row r="541" spans="1:10" x14ac:dyDescent="0.25">
      <c r="A541" t="s">
        <v>390</v>
      </c>
      <c r="C541" s="286">
        <v>42285.441770833335</v>
      </c>
      <c r="D541" t="s">
        <v>382</v>
      </c>
      <c r="E541">
        <v>0</v>
      </c>
      <c r="F541" s="287"/>
      <c r="G541" s="287"/>
      <c r="H541" s="287"/>
      <c r="I541" t="s">
        <v>382</v>
      </c>
      <c r="J541" t="s">
        <v>42</v>
      </c>
    </row>
    <row r="542" spans="1:10" x14ac:dyDescent="0.25">
      <c r="A542" t="s">
        <v>390</v>
      </c>
      <c r="C542" s="286">
        <v>42285.785185185188</v>
      </c>
      <c r="D542" t="s">
        <v>382</v>
      </c>
      <c r="E542">
        <v>0</v>
      </c>
      <c r="F542" s="287"/>
      <c r="G542" s="287"/>
      <c r="H542" s="287"/>
      <c r="I542" t="s">
        <v>382</v>
      </c>
      <c r="J542" t="s">
        <v>42</v>
      </c>
    </row>
    <row r="543" spans="1:10" x14ac:dyDescent="0.25">
      <c r="A543" t="s">
        <v>390</v>
      </c>
      <c r="C543" s="286">
        <v>42286.713113425925</v>
      </c>
      <c r="D543" t="s">
        <v>382</v>
      </c>
      <c r="E543">
        <v>0</v>
      </c>
      <c r="F543" s="287"/>
      <c r="G543" s="287"/>
      <c r="H543" s="287"/>
      <c r="I543" t="s">
        <v>382</v>
      </c>
      <c r="J543" t="s">
        <v>42</v>
      </c>
    </row>
    <row r="544" spans="1:10" x14ac:dyDescent="0.25">
      <c r="A544" t="s">
        <v>396</v>
      </c>
      <c r="C544" s="286">
        <v>42286.862534722219</v>
      </c>
      <c r="D544" t="s">
        <v>382</v>
      </c>
      <c r="E544">
        <v>0</v>
      </c>
      <c r="F544" s="287"/>
      <c r="G544" s="287"/>
      <c r="H544" s="287"/>
      <c r="I544" t="s">
        <v>382</v>
      </c>
      <c r="J544" t="s">
        <v>42</v>
      </c>
    </row>
    <row r="545" spans="1:10" x14ac:dyDescent="0.25">
      <c r="A545" t="s">
        <v>388</v>
      </c>
      <c r="C545" s="286">
        <v>42286.878263888888</v>
      </c>
      <c r="D545" t="s">
        <v>382</v>
      </c>
      <c r="E545">
        <v>0</v>
      </c>
      <c r="F545" s="287"/>
      <c r="G545" s="287"/>
      <c r="H545" s="287"/>
      <c r="I545" t="s">
        <v>382</v>
      </c>
      <c r="J545" t="s">
        <v>42</v>
      </c>
    </row>
    <row r="546" spans="1:10" x14ac:dyDescent="0.25">
      <c r="A546" t="s">
        <v>409</v>
      </c>
      <c r="C546" s="286">
        <v>42286.879247685189</v>
      </c>
      <c r="D546" t="s">
        <v>382</v>
      </c>
      <c r="E546">
        <v>0</v>
      </c>
      <c r="F546" s="287"/>
      <c r="G546" s="287"/>
      <c r="H546" s="287"/>
      <c r="I546" t="s">
        <v>382</v>
      </c>
      <c r="J546" t="s">
        <v>42</v>
      </c>
    </row>
    <row r="547" spans="1:10" x14ac:dyDescent="0.25">
      <c r="A547" t="s">
        <v>388</v>
      </c>
      <c r="C547" s="286">
        <v>42287.387754629628</v>
      </c>
      <c r="D547" t="s">
        <v>382</v>
      </c>
      <c r="E547">
        <v>0</v>
      </c>
      <c r="F547" s="287"/>
      <c r="G547" s="287"/>
      <c r="H547" s="287"/>
      <c r="I547" t="s">
        <v>382</v>
      </c>
      <c r="J547" t="s">
        <v>42</v>
      </c>
    </row>
    <row r="548" spans="1:10" x14ac:dyDescent="0.25">
      <c r="A548" t="s">
        <v>407</v>
      </c>
      <c r="C548" s="286">
        <v>42287.719340277778</v>
      </c>
      <c r="D548" t="s">
        <v>382</v>
      </c>
      <c r="E548">
        <v>0</v>
      </c>
      <c r="F548" s="287"/>
      <c r="G548" s="287"/>
      <c r="H548" s="287"/>
      <c r="I548" t="s">
        <v>382</v>
      </c>
      <c r="J548" t="s">
        <v>42</v>
      </c>
    </row>
    <row r="549" spans="1:10" x14ac:dyDescent="0.25">
      <c r="A549" t="s">
        <v>410</v>
      </c>
      <c r="C549" s="286">
        <v>42287.720706018517</v>
      </c>
      <c r="D549" t="s">
        <v>382</v>
      </c>
      <c r="E549">
        <v>0</v>
      </c>
      <c r="F549" s="287"/>
      <c r="G549" s="287"/>
      <c r="H549" s="287"/>
      <c r="I549" t="s">
        <v>382</v>
      </c>
      <c r="J549" t="s">
        <v>42</v>
      </c>
    </row>
    <row r="550" spans="1:10" x14ac:dyDescent="0.25">
      <c r="A550" t="s">
        <v>407</v>
      </c>
      <c r="C550" s="286">
        <v>42287.721701388888</v>
      </c>
      <c r="D550" t="s">
        <v>382</v>
      </c>
      <c r="E550">
        <v>0</v>
      </c>
      <c r="F550" s="287"/>
      <c r="G550" s="287"/>
      <c r="H550" s="287"/>
      <c r="I550" t="s">
        <v>382</v>
      </c>
      <c r="J550" t="s">
        <v>42</v>
      </c>
    </row>
    <row r="551" spans="1:10" x14ac:dyDescent="0.25">
      <c r="A551" t="s">
        <v>390</v>
      </c>
      <c r="C551" s="286">
        <v>42287.763113425928</v>
      </c>
      <c r="D551" t="s">
        <v>382</v>
      </c>
      <c r="E551">
        <v>0</v>
      </c>
      <c r="F551" s="287"/>
      <c r="G551" s="287"/>
      <c r="H551" s="287"/>
      <c r="I551" t="s">
        <v>382</v>
      </c>
      <c r="J551" t="s">
        <v>42</v>
      </c>
    </row>
    <row r="552" spans="1:10" x14ac:dyDescent="0.25">
      <c r="A552" t="s">
        <v>406</v>
      </c>
      <c r="C552" s="286">
        <v>42287.965821759259</v>
      </c>
      <c r="D552" t="s">
        <v>382</v>
      </c>
      <c r="E552">
        <v>0</v>
      </c>
      <c r="F552" s="287"/>
      <c r="G552" s="287"/>
      <c r="H552" s="287"/>
      <c r="I552" t="s">
        <v>382</v>
      </c>
      <c r="J552" t="s">
        <v>42</v>
      </c>
    </row>
    <row r="553" spans="1:10" x14ac:dyDescent="0.25">
      <c r="A553" t="s">
        <v>390</v>
      </c>
      <c r="C553" s="286">
        <v>42288.763101851851</v>
      </c>
      <c r="D553" t="s">
        <v>382</v>
      </c>
      <c r="E553">
        <v>0</v>
      </c>
      <c r="F553" s="287"/>
      <c r="G553" s="287"/>
      <c r="H553" s="287"/>
      <c r="I553" t="s">
        <v>382</v>
      </c>
      <c r="J553" t="s">
        <v>42</v>
      </c>
    </row>
    <row r="554" spans="1:10" x14ac:dyDescent="0.25">
      <c r="A554" t="s">
        <v>396</v>
      </c>
      <c r="C554" s="286">
        <v>42288.783935185187</v>
      </c>
      <c r="D554" t="s">
        <v>382</v>
      </c>
      <c r="E554">
        <v>0</v>
      </c>
      <c r="F554" s="287"/>
      <c r="G554" s="287"/>
      <c r="H554" s="287"/>
      <c r="I554" t="s">
        <v>382</v>
      </c>
      <c r="J554" t="s">
        <v>42</v>
      </c>
    </row>
    <row r="555" spans="1:10" x14ac:dyDescent="0.25">
      <c r="A555" t="s">
        <v>390</v>
      </c>
      <c r="C555" s="286">
        <v>42289.735891203702</v>
      </c>
      <c r="D555" t="s">
        <v>382</v>
      </c>
      <c r="E555">
        <v>0</v>
      </c>
      <c r="F555" s="287"/>
      <c r="G555" s="287"/>
      <c r="H555" s="287"/>
      <c r="I555" t="s">
        <v>382</v>
      </c>
      <c r="J555" t="s">
        <v>42</v>
      </c>
    </row>
    <row r="556" spans="1:10" x14ac:dyDescent="0.25">
      <c r="A556" t="s">
        <v>390</v>
      </c>
      <c r="C556" s="286">
        <v>42289.82439814815</v>
      </c>
      <c r="D556" t="s">
        <v>382</v>
      </c>
      <c r="E556">
        <v>0</v>
      </c>
      <c r="F556" s="287"/>
      <c r="G556" s="287"/>
      <c r="H556" s="287"/>
      <c r="I556" t="s">
        <v>382</v>
      </c>
      <c r="J556" t="s">
        <v>42</v>
      </c>
    </row>
    <row r="557" spans="1:10" x14ac:dyDescent="0.25">
      <c r="A557" t="s">
        <v>396</v>
      </c>
      <c r="C557" s="286">
        <v>42290.478483796294</v>
      </c>
      <c r="D557" t="s">
        <v>382</v>
      </c>
      <c r="E557">
        <v>0</v>
      </c>
      <c r="F557" s="287"/>
      <c r="G557" s="287"/>
      <c r="H557" s="287"/>
      <c r="I557" t="s">
        <v>382</v>
      </c>
      <c r="J557" t="s">
        <v>42</v>
      </c>
    </row>
    <row r="558" spans="1:10" x14ac:dyDescent="0.25">
      <c r="A558" t="s">
        <v>396</v>
      </c>
      <c r="C558" s="286">
        <v>42290.78837962963</v>
      </c>
      <c r="D558" t="s">
        <v>382</v>
      </c>
      <c r="E558">
        <v>0</v>
      </c>
      <c r="F558" s="287"/>
      <c r="G558" s="287"/>
      <c r="H558" s="287"/>
      <c r="I558" t="s">
        <v>382</v>
      </c>
      <c r="J558" t="s">
        <v>42</v>
      </c>
    </row>
    <row r="559" spans="1:10" x14ac:dyDescent="0.25">
      <c r="A559" t="s">
        <v>390</v>
      </c>
      <c r="C559" s="286">
        <v>42290.858912037038</v>
      </c>
      <c r="D559" t="s">
        <v>382</v>
      </c>
      <c r="E559">
        <v>0</v>
      </c>
      <c r="F559" s="287"/>
      <c r="G559" s="287"/>
      <c r="H559" s="287"/>
      <c r="I559" t="s">
        <v>382</v>
      </c>
      <c r="J559" t="s">
        <v>42</v>
      </c>
    </row>
    <row r="560" spans="1:10" x14ac:dyDescent="0.25">
      <c r="A560" t="s">
        <v>396</v>
      </c>
      <c r="C560" s="286">
        <v>42291.138958333337</v>
      </c>
      <c r="D560" t="s">
        <v>382</v>
      </c>
      <c r="E560">
        <v>0</v>
      </c>
      <c r="F560" s="287"/>
      <c r="G560" s="287"/>
      <c r="H560" s="287"/>
      <c r="I560" t="s">
        <v>382</v>
      </c>
      <c r="J560" t="s">
        <v>42</v>
      </c>
    </row>
    <row r="561" spans="1:10" x14ac:dyDescent="0.25">
      <c r="A561" t="s">
        <v>390</v>
      </c>
      <c r="C561" s="286">
        <v>42291.712696759256</v>
      </c>
      <c r="D561" t="s">
        <v>382</v>
      </c>
      <c r="E561">
        <v>0</v>
      </c>
      <c r="F561" s="287"/>
      <c r="G561" s="287"/>
      <c r="H561" s="287"/>
      <c r="I561" t="s">
        <v>382</v>
      </c>
      <c r="J561" t="s">
        <v>42</v>
      </c>
    </row>
    <row r="562" spans="1:10" x14ac:dyDescent="0.25">
      <c r="A562" t="s">
        <v>396</v>
      </c>
      <c r="C562" s="286">
        <v>42291.754652777781</v>
      </c>
      <c r="D562" t="s">
        <v>382</v>
      </c>
      <c r="E562">
        <v>0</v>
      </c>
      <c r="F562" s="287"/>
      <c r="G562" s="287"/>
      <c r="H562" s="287"/>
      <c r="I562" t="s">
        <v>382</v>
      </c>
      <c r="J562" t="s">
        <v>42</v>
      </c>
    </row>
    <row r="563" spans="1:10" x14ac:dyDescent="0.25">
      <c r="A563" t="s">
        <v>390</v>
      </c>
      <c r="C563" s="286">
        <v>42291.826562499999</v>
      </c>
      <c r="D563" t="s">
        <v>382</v>
      </c>
      <c r="E563">
        <v>0</v>
      </c>
      <c r="F563" s="287"/>
      <c r="G563" s="287"/>
      <c r="H563" s="287"/>
      <c r="I563" t="s">
        <v>382</v>
      </c>
      <c r="J563" t="s">
        <v>42</v>
      </c>
    </row>
    <row r="564" spans="1:10" x14ac:dyDescent="0.25">
      <c r="A564" t="s">
        <v>396</v>
      </c>
      <c r="C564" s="286">
        <v>42292.072870370372</v>
      </c>
      <c r="D564" t="s">
        <v>382</v>
      </c>
      <c r="E564">
        <v>0</v>
      </c>
      <c r="F564" s="287"/>
      <c r="G564" s="287"/>
      <c r="H564" s="287"/>
      <c r="I564" t="s">
        <v>382</v>
      </c>
      <c r="J564" t="s">
        <v>42</v>
      </c>
    </row>
    <row r="565" spans="1:10" x14ac:dyDescent="0.25">
      <c r="A565" t="s">
        <v>396</v>
      </c>
      <c r="C565" s="286">
        <v>42292.392824074072</v>
      </c>
      <c r="D565" t="s">
        <v>382</v>
      </c>
      <c r="E565">
        <v>0</v>
      </c>
      <c r="F565" s="287"/>
      <c r="G565" s="287"/>
      <c r="H565" s="287"/>
      <c r="I565" t="s">
        <v>382</v>
      </c>
      <c r="J565" t="s">
        <v>42</v>
      </c>
    </row>
    <row r="566" spans="1:10" x14ac:dyDescent="0.25">
      <c r="A566" t="s">
        <v>390</v>
      </c>
      <c r="C566" s="286">
        <v>42292.822500000002</v>
      </c>
      <c r="D566" t="s">
        <v>382</v>
      </c>
      <c r="E566">
        <v>0</v>
      </c>
      <c r="F566" s="287"/>
      <c r="G566" s="287"/>
      <c r="H566" s="287"/>
      <c r="I566" t="s">
        <v>382</v>
      </c>
      <c r="J566" t="s">
        <v>42</v>
      </c>
    </row>
    <row r="567" spans="1:10" x14ac:dyDescent="0.25">
      <c r="A567" t="s">
        <v>396</v>
      </c>
      <c r="C567" s="286">
        <v>42293.08871527778</v>
      </c>
      <c r="D567" t="s">
        <v>382</v>
      </c>
      <c r="E567">
        <v>0</v>
      </c>
      <c r="F567" s="287"/>
      <c r="G567" s="287"/>
      <c r="H567" s="287"/>
      <c r="I567" t="s">
        <v>382</v>
      </c>
      <c r="J567" t="s">
        <v>42</v>
      </c>
    </row>
    <row r="568" spans="1:10" x14ac:dyDescent="0.25">
      <c r="A568" t="s">
        <v>396</v>
      </c>
      <c r="C568" s="286">
        <v>42293.361712962964</v>
      </c>
      <c r="D568" t="s">
        <v>382</v>
      </c>
      <c r="E568">
        <v>0</v>
      </c>
      <c r="F568" s="287"/>
      <c r="G568" s="287"/>
      <c r="H568" s="287"/>
      <c r="I568" t="s">
        <v>382</v>
      </c>
      <c r="J568" t="s">
        <v>42</v>
      </c>
    </row>
    <row r="569" spans="1:10" x14ac:dyDescent="0.25">
      <c r="A569" t="s">
        <v>390</v>
      </c>
      <c r="C569" s="286">
        <v>42293.372037037036</v>
      </c>
      <c r="D569" t="s">
        <v>382</v>
      </c>
      <c r="E569">
        <v>0</v>
      </c>
      <c r="F569" s="287"/>
      <c r="G569" s="287"/>
      <c r="H569" s="287"/>
      <c r="I569" t="s">
        <v>382</v>
      </c>
      <c r="J569" t="s">
        <v>42</v>
      </c>
    </row>
    <row r="570" spans="1:10" x14ac:dyDescent="0.25">
      <c r="A570" t="s">
        <v>390</v>
      </c>
      <c r="C570" s="286">
        <v>42293.811562499999</v>
      </c>
      <c r="D570" t="s">
        <v>382</v>
      </c>
      <c r="E570">
        <v>0</v>
      </c>
      <c r="F570" s="287"/>
      <c r="G570" s="287"/>
      <c r="H570" s="287"/>
      <c r="I570" t="s">
        <v>382</v>
      </c>
      <c r="J570" t="s">
        <v>42</v>
      </c>
    </row>
    <row r="571" spans="1:10" x14ac:dyDescent="0.25">
      <c r="A571" t="s">
        <v>396</v>
      </c>
      <c r="C571" s="286">
        <v>42294.076168981483</v>
      </c>
      <c r="D571" t="s">
        <v>382</v>
      </c>
      <c r="E571">
        <v>0</v>
      </c>
      <c r="F571" s="287"/>
      <c r="G571" s="287"/>
      <c r="H571" s="287"/>
      <c r="I571" t="s">
        <v>382</v>
      </c>
      <c r="J571" t="s">
        <v>42</v>
      </c>
    </row>
    <row r="572" spans="1:10" x14ac:dyDescent="0.25">
      <c r="A572" t="s">
        <v>396</v>
      </c>
      <c r="C572" s="286">
        <v>42294.375949074078</v>
      </c>
      <c r="D572" t="s">
        <v>382</v>
      </c>
      <c r="E572">
        <v>0</v>
      </c>
      <c r="F572" s="287"/>
      <c r="G572" s="287"/>
      <c r="H572" s="287"/>
      <c r="I572" t="s">
        <v>382</v>
      </c>
      <c r="J572" t="s">
        <v>42</v>
      </c>
    </row>
    <row r="573" spans="1:10" x14ac:dyDescent="0.25">
      <c r="A573" t="s">
        <v>390</v>
      </c>
      <c r="C573" s="286">
        <v>42294.790578703702</v>
      </c>
      <c r="D573" t="s">
        <v>382</v>
      </c>
      <c r="E573">
        <v>0</v>
      </c>
      <c r="F573" s="287"/>
      <c r="G573" s="287"/>
      <c r="H573" s="287"/>
      <c r="I573" t="s">
        <v>382</v>
      </c>
      <c r="J573" t="s">
        <v>42</v>
      </c>
    </row>
    <row r="574" spans="1:10" x14ac:dyDescent="0.25">
      <c r="A574" t="s">
        <v>406</v>
      </c>
      <c r="C574" s="286">
        <v>42294.844490740739</v>
      </c>
      <c r="D574" t="s">
        <v>382</v>
      </c>
      <c r="E574">
        <v>0</v>
      </c>
      <c r="F574" s="287"/>
      <c r="G574" s="287"/>
      <c r="H574" s="287"/>
      <c r="I574" t="s">
        <v>382</v>
      </c>
      <c r="J574" t="s">
        <v>42</v>
      </c>
    </row>
    <row r="575" spans="1:10" x14ac:dyDescent="0.25">
      <c r="A575" t="s">
        <v>396</v>
      </c>
      <c r="C575" s="286">
        <v>42295.021469907406</v>
      </c>
      <c r="D575" t="s">
        <v>382</v>
      </c>
      <c r="E575">
        <v>0</v>
      </c>
      <c r="F575" s="287"/>
      <c r="G575" s="287"/>
      <c r="H575" s="287"/>
      <c r="I575" t="s">
        <v>382</v>
      </c>
      <c r="J575" t="s">
        <v>42</v>
      </c>
    </row>
    <row r="576" spans="1:10" x14ac:dyDescent="0.25">
      <c r="A576" t="s">
        <v>396</v>
      </c>
      <c r="C576" s="286">
        <v>42295.401759259257</v>
      </c>
      <c r="D576" t="s">
        <v>382</v>
      </c>
      <c r="E576">
        <v>0</v>
      </c>
      <c r="F576" s="287"/>
      <c r="G576" s="287"/>
      <c r="H576" s="287"/>
      <c r="I576" t="s">
        <v>382</v>
      </c>
      <c r="J576" t="s">
        <v>42</v>
      </c>
    </row>
    <row r="577" spans="1:10" x14ac:dyDescent="0.25">
      <c r="A577" t="s">
        <v>390</v>
      </c>
      <c r="C577" s="286">
        <v>42295.87300925926</v>
      </c>
      <c r="D577" t="s">
        <v>382</v>
      </c>
      <c r="E577">
        <v>0</v>
      </c>
      <c r="F577" s="287"/>
      <c r="G577" s="287"/>
      <c r="H577" s="287"/>
      <c r="I577" t="s">
        <v>382</v>
      </c>
      <c r="J577" t="s">
        <v>42</v>
      </c>
    </row>
    <row r="578" spans="1:10" x14ac:dyDescent="0.25">
      <c r="A578" t="s">
        <v>396</v>
      </c>
      <c r="C578" s="286">
        <v>42296.408831018518</v>
      </c>
      <c r="D578" t="s">
        <v>382</v>
      </c>
      <c r="E578">
        <v>0</v>
      </c>
      <c r="F578" s="287"/>
      <c r="G578" s="287"/>
      <c r="H578" s="287"/>
      <c r="I578" t="s">
        <v>382</v>
      </c>
      <c r="J578" t="s">
        <v>42</v>
      </c>
    </row>
    <row r="579" spans="1:10" x14ac:dyDescent="0.25">
      <c r="A579" t="s">
        <v>396</v>
      </c>
      <c r="C579" s="286">
        <v>42296.410798611112</v>
      </c>
      <c r="D579" t="s">
        <v>382</v>
      </c>
      <c r="E579">
        <v>0</v>
      </c>
      <c r="F579" s="287"/>
      <c r="G579" s="287"/>
      <c r="H579" s="287"/>
      <c r="I579" t="s">
        <v>382</v>
      </c>
      <c r="J579" t="s">
        <v>42</v>
      </c>
    </row>
    <row r="580" spans="1:10" x14ac:dyDescent="0.25">
      <c r="A580" t="s">
        <v>390</v>
      </c>
      <c r="C580" s="286">
        <v>42296.828356481485</v>
      </c>
      <c r="D580" t="s">
        <v>382</v>
      </c>
      <c r="E580">
        <v>0</v>
      </c>
      <c r="F580" s="287"/>
      <c r="G580" s="287"/>
      <c r="H580" s="287"/>
      <c r="I580" t="s">
        <v>382</v>
      </c>
      <c r="J580" t="s">
        <v>42</v>
      </c>
    </row>
    <row r="581" spans="1:10" x14ac:dyDescent="0.25">
      <c r="A581" t="s">
        <v>396</v>
      </c>
      <c r="C581" s="286">
        <v>42297.268530092595</v>
      </c>
      <c r="D581" t="s">
        <v>382</v>
      </c>
      <c r="E581">
        <v>0</v>
      </c>
      <c r="F581" s="287"/>
      <c r="G581" s="287"/>
      <c r="H581" s="287"/>
      <c r="I581" t="s">
        <v>382</v>
      </c>
      <c r="J581" t="s">
        <v>42</v>
      </c>
    </row>
    <row r="582" spans="1:10" x14ac:dyDescent="0.25">
      <c r="A582" t="s">
        <v>390</v>
      </c>
      <c r="C582" s="286">
        <v>42297.663159722222</v>
      </c>
      <c r="D582" t="s">
        <v>382</v>
      </c>
      <c r="E582">
        <v>0</v>
      </c>
      <c r="F582" s="287"/>
      <c r="G582" s="287"/>
      <c r="H582" s="287"/>
      <c r="I582" t="s">
        <v>382</v>
      </c>
      <c r="J582" t="s">
        <v>42</v>
      </c>
    </row>
    <row r="583" spans="1:10" x14ac:dyDescent="0.25">
      <c r="A583" t="s">
        <v>396</v>
      </c>
      <c r="C583" s="286">
        <v>42298.368148148147</v>
      </c>
      <c r="D583" t="s">
        <v>382</v>
      </c>
      <c r="E583">
        <v>0</v>
      </c>
      <c r="F583" s="287"/>
      <c r="G583" s="287"/>
      <c r="H583" s="287"/>
      <c r="I583" t="s">
        <v>382</v>
      </c>
      <c r="J583" t="s">
        <v>42</v>
      </c>
    </row>
    <row r="584" spans="1:10" x14ac:dyDescent="0.25">
      <c r="A584" t="s">
        <v>390</v>
      </c>
      <c r="C584" s="286">
        <v>42298.769791666666</v>
      </c>
      <c r="D584" t="s">
        <v>382</v>
      </c>
      <c r="E584">
        <v>0</v>
      </c>
      <c r="F584" s="287"/>
      <c r="G584" s="287"/>
      <c r="H584" s="287"/>
      <c r="I584" t="s">
        <v>382</v>
      </c>
      <c r="J584" t="s">
        <v>42</v>
      </c>
    </row>
    <row r="585" spans="1:10" x14ac:dyDescent="0.25">
      <c r="A585" t="s">
        <v>390</v>
      </c>
      <c r="C585" s="286">
        <v>42298.85087962963</v>
      </c>
      <c r="D585" t="s">
        <v>382</v>
      </c>
      <c r="E585">
        <v>0</v>
      </c>
      <c r="F585" s="287"/>
      <c r="G585" s="287"/>
      <c r="H585" s="287"/>
      <c r="I585" t="s">
        <v>382</v>
      </c>
      <c r="J585" t="s">
        <v>42</v>
      </c>
    </row>
    <row r="586" spans="1:10" x14ac:dyDescent="0.25">
      <c r="A586" t="s">
        <v>390</v>
      </c>
      <c r="C586" s="286">
        <v>42299.060069444444</v>
      </c>
      <c r="D586" t="s">
        <v>382</v>
      </c>
      <c r="E586">
        <v>0</v>
      </c>
      <c r="F586" s="287"/>
      <c r="G586" s="287"/>
      <c r="H586" s="287"/>
      <c r="I586" t="s">
        <v>382</v>
      </c>
      <c r="J586" t="s">
        <v>42</v>
      </c>
    </row>
    <row r="587" spans="1:10" x14ac:dyDescent="0.25">
      <c r="A587" t="s">
        <v>396</v>
      </c>
      <c r="C587" s="286">
        <v>42299.395682870374</v>
      </c>
      <c r="D587" t="s">
        <v>382</v>
      </c>
      <c r="E587">
        <v>0</v>
      </c>
      <c r="F587" s="287"/>
      <c r="G587" s="287"/>
      <c r="H587" s="287"/>
      <c r="I587" t="s">
        <v>382</v>
      </c>
      <c r="J587" t="s">
        <v>42</v>
      </c>
    </row>
    <row r="588" spans="1:10" x14ac:dyDescent="0.25">
      <c r="A588" t="s">
        <v>390</v>
      </c>
      <c r="C588" s="286">
        <v>42299.734189814815</v>
      </c>
      <c r="D588" t="s">
        <v>382</v>
      </c>
      <c r="E588">
        <v>0</v>
      </c>
      <c r="F588" s="287"/>
      <c r="G588" s="287"/>
      <c r="H588" s="287"/>
      <c r="I588" t="s">
        <v>382</v>
      </c>
      <c r="J588" t="s">
        <v>42</v>
      </c>
    </row>
    <row r="589" spans="1:10" x14ac:dyDescent="0.25">
      <c r="A589" t="s">
        <v>396</v>
      </c>
      <c r="C589" s="286">
        <v>42300.422071759262</v>
      </c>
      <c r="D589" t="s">
        <v>382</v>
      </c>
      <c r="E589">
        <v>0</v>
      </c>
      <c r="F589" s="287"/>
      <c r="G589" s="287"/>
      <c r="H589" s="287"/>
      <c r="I589" t="s">
        <v>382</v>
      </c>
      <c r="J589" t="s">
        <v>42</v>
      </c>
    </row>
    <row r="590" spans="1:10" x14ac:dyDescent="0.25">
      <c r="A590" t="s">
        <v>390</v>
      </c>
      <c r="C590" s="286">
        <v>42300.766493055555</v>
      </c>
      <c r="D590" t="s">
        <v>382</v>
      </c>
      <c r="E590">
        <v>0</v>
      </c>
      <c r="F590" s="287"/>
      <c r="G590" s="287"/>
      <c r="H590" s="287"/>
      <c r="I590" t="s">
        <v>382</v>
      </c>
      <c r="J590" t="s">
        <v>42</v>
      </c>
    </row>
    <row r="591" spans="1:10" x14ac:dyDescent="0.25">
      <c r="A591" t="s">
        <v>404</v>
      </c>
      <c r="C591" s="286">
        <v>42301.033043981479</v>
      </c>
      <c r="D591" t="s">
        <v>382</v>
      </c>
      <c r="E591">
        <v>0</v>
      </c>
      <c r="F591" s="287"/>
      <c r="G591" s="287"/>
      <c r="H591" s="287"/>
      <c r="I591" t="s">
        <v>382</v>
      </c>
      <c r="J591" t="s">
        <v>42</v>
      </c>
    </row>
    <row r="592" spans="1:10" x14ac:dyDescent="0.25">
      <c r="A592" t="s">
        <v>396</v>
      </c>
      <c r="C592" s="286">
        <v>42301.423657407409</v>
      </c>
      <c r="D592" t="s">
        <v>382</v>
      </c>
      <c r="E592">
        <v>0</v>
      </c>
      <c r="F592" s="287"/>
      <c r="G592" s="287"/>
      <c r="H592" s="287"/>
      <c r="I592" t="s">
        <v>382</v>
      </c>
      <c r="J592" t="s">
        <v>42</v>
      </c>
    </row>
    <row r="593" spans="1:10" x14ac:dyDescent="0.25">
      <c r="A593" t="s">
        <v>390</v>
      </c>
      <c r="C593" s="286">
        <v>42301.772314814814</v>
      </c>
      <c r="D593" t="s">
        <v>382</v>
      </c>
      <c r="E593">
        <v>0</v>
      </c>
      <c r="F593" s="287"/>
      <c r="G593" s="287"/>
      <c r="H593" s="287"/>
      <c r="I593" t="s">
        <v>382</v>
      </c>
      <c r="J593" t="s">
        <v>42</v>
      </c>
    </row>
    <row r="594" spans="1:10" x14ac:dyDescent="0.25">
      <c r="A594" t="s">
        <v>406</v>
      </c>
      <c r="C594" s="286">
        <v>42301.864398148151</v>
      </c>
      <c r="D594" t="s">
        <v>382</v>
      </c>
      <c r="E594">
        <v>0</v>
      </c>
      <c r="F594" s="287"/>
      <c r="G594" s="287"/>
      <c r="H594" s="287"/>
      <c r="I594" t="s">
        <v>382</v>
      </c>
      <c r="J594" t="s">
        <v>42</v>
      </c>
    </row>
    <row r="595" spans="1:10" x14ac:dyDescent="0.25">
      <c r="A595" t="s">
        <v>396</v>
      </c>
      <c r="C595" s="286">
        <v>42302.379629629628</v>
      </c>
      <c r="D595" t="s">
        <v>382</v>
      </c>
      <c r="E595">
        <v>0</v>
      </c>
      <c r="F595" s="287"/>
      <c r="G595" s="287"/>
      <c r="H595" s="287"/>
      <c r="I595" t="s">
        <v>382</v>
      </c>
      <c r="J595" t="s">
        <v>42</v>
      </c>
    </row>
    <row r="596" spans="1:10" x14ac:dyDescent="0.25">
      <c r="A596" t="s">
        <v>390</v>
      </c>
      <c r="C596" s="286">
        <v>42302.809155092589</v>
      </c>
      <c r="D596" t="s">
        <v>382</v>
      </c>
      <c r="E596">
        <v>0</v>
      </c>
      <c r="F596" s="287"/>
      <c r="G596" s="287"/>
      <c r="H596" s="287"/>
      <c r="I596" t="s">
        <v>382</v>
      </c>
      <c r="J596" t="s">
        <v>42</v>
      </c>
    </row>
    <row r="597" spans="1:10" x14ac:dyDescent="0.25">
      <c r="A597" t="s">
        <v>396</v>
      </c>
      <c r="C597" s="286">
        <v>42303.347638888888</v>
      </c>
      <c r="D597" t="s">
        <v>382</v>
      </c>
      <c r="E597">
        <v>0</v>
      </c>
      <c r="F597" s="287"/>
      <c r="G597" s="287"/>
      <c r="H597" s="287"/>
      <c r="I597" t="s">
        <v>382</v>
      </c>
      <c r="J597" t="s">
        <v>42</v>
      </c>
    </row>
    <row r="598" spans="1:10" x14ac:dyDescent="0.25">
      <c r="A598" t="s">
        <v>390</v>
      </c>
      <c r="C598" s="286">
        <v>42303.715462962966</v>
      </c>
      <c r="D598" t="s">
        <v>382</v>
      </c>
      <c r="E598">
        <v>0</v>
      </c>
      <c r="F598" s="287"/>
      <c r="G598" s="287"/>
      <c r="H598" s="287"/>
      <c r="I598" t="s">
        <v>382</v>
      </c>
      <c r="J598" t="s">
        <v>42</v>
      </c>
    </row>
    <row r="599" spans="1:10" x14ac:dyDescent="0.25">
      <c r="A599" t="s">
        <v>390</v>
      </c>
      <c r="C599" s="286">
        <v>42303.845173611109</v>
      </c>
      <c r="D599" t="s">
        <v>382</v>
      </c>
      <c r="E599">
        <v>0</v>
      </c>
      <c r="F599" s="287"/>
      <c r="G599" s="287"/>
      <c r="H599" s="287"/>
      <c r="I599" t="s">
        <v>382</v>
      </c>
      <c r="J599" t="s">
        <v>42</v>
      </c>
    </row>
    <row r="600" spans="1:10" x14ac:dyDescent="0.25">
      <c r="A600" t="s">
        <v>396</v>
      </c>
      <c r="C600" s="286">
        <v>42304.676863425928</v>
      </c>
      <c r="D600" t="s">
        <v>382</v>
      </c>
      <c r="E600">
        <v>0</v>
      </c>
      <c r="F600" s="287"/>
      <c r="G600" s="287"/>
      <c r="H600" s="287"/>
      <c r="I600" t="s">
        <v>382</v>
      </c>
      <c r="J600" t="s">
        <v>42</v>
      </c>
    </row>
    <row r="601" spans="1:10" x14ac:dyDescent="0.25">
      <c r="A601" t="s">
        <v>390</v>
      </c>
      <c r="C601" s="286">
        <v>42304.834236111114</v>
      </c>
      <c r="D601" t="s">
        <v>382</v>
      </c>
      <c r="E601">
        <v>0</v>
      </c>
      <c r="F601" s="287"/>
      <c r="G601" s="287"/>
      <c r="H601" s="287"/>
      <c r="I601" t="s">
        <v>382</v>
      </c>
      <c r="J601" t="s">
        <v>42</v>
      </c>
    </row>
    <row r="602" spans="1:10" x14ac:dyDescent="0.25">
      <c r="A602" t="s">
        <v>396</v>
      </c>
      <c r="C602" s="286">
        <v>42305.691111111111</v>
      </c>
      <c r="D602" t="s">
        <v>382</v>
      </c>
      <c r="E602">
        <v>0</v>
      </c>
      <c r="F602" s="287"/>
      <c r="G602" s="287"/>
      <c r="H602" s="287"/>
      <c r="I602" t="s">
        <v>382</v>
      </c>
      <c r="J602" t="s">
        <v>42</v>
      </c>
    </row>
    <row r="603" spans="1:10" x14ac:dyDescent="0.25">
      <c r="A603" t="s">
        <v>390</v>
      </c>
      <c r="C603" s="286">
        <v>42305.698298611111</v>
      </c>
      <c r="D603" t="s">
        <v>382</v>
      </c>
      <c r="E603">
        <v>0</v>
      </c>
      <c r="F603" s="287"/>
      <c r="G603" s="287"/>
      <c r="H603" s="287"/>
      <c r="I603" t="s">
        <v>382</v>
      </c>
      <c r="J603" t="s">
        <v>42</v>
      </c>
    </row>
    <row r="604" spans="1:10" x14ac:dyDescent="0.25">
      <c r="A604" t="s">
        <v>390</v>
      </c>
      <c r="C604" s="286">
        <v>42305.816562499997</v>
      </c>
      <c r="D604" t="s">
        <v>382</v>
      </c>
      <c r="E604">
        <v>0</v>
      </c>
      <c r="F604" s="287"/>
      <c r="G604" s="287"/>
      <c r="H604" s="287"/>
      <c r="I604" t="s">
        <v>382</v>
      </c>
      <c r="J604" t="s">
        <v>42</v>
      </c>
    </row>
    <row r="605" spans="1:10" x14ac:dyDescent="0.25">
      <c r="A605" t="s">
        <v>390</v>
      </c>
      <c r="C605" s="286">
        <v>42305.967314814814</v>
      </c>
      <c r="D605" t="s">
        <v>382</v>
      </c>
      <c r="E605">
        <v>0</v>
      </c>
      <c r="F605" s="287"/>
      <c r="G605" s="287"/>
      <c r="H605" s="287"/>
      <c r="I605" t="s">
        <v>382</v>
      </c>
      <c r="J605" t="s">
        <v>42</v>
      </c>
    </row>
    <row r="606" spans="1:10" x14ac:dyDescent="0.25">
      <c r="A606" t="s">
        <v>396</v>
      </c>
      <c r="C606" s="286">
        <v>42306.727303240739</v>
      </c>
      <c r="D606" t="s">
        <v>382</v>
      </c>
      <c r="E606">
        <v>0</v>
      </c>
      <c r="F606" s="287"/>
      <c r="G606" s="287"/>
      <c r="H606" s="287"/>
      <c r="I606" t="s">
        <v>382</v>
      </c>
      <c r="J606" t="s">
        <v>42</v>
      </c>
    </row>
    <row r="607" spans="1:10" x14ac:dyDescent="0.25">
      <c r="A607" t="s">
        <v>390</v>
      </c>
      <c r="C607" s="286">
        <v>42306.727569444447</v>
      </c>
      <c r="D607" t="s">
        <v>382</v>
      </c>
      <c r="E607">
        <v>0</v>
      </c>
      <c r="F607" s="287"/>
      <c r="G607" s="287"/>
      <c r="H607" s="287"/>
      <c r="I607" t="s">
        <v>382</v>
      </c>
      <c r="J607" t="s">
        <v>42</v>
      </c>
    </row>
    <row r="608" spans="1:10" x14ac:dyDescent="0.25">
      <c r="A608" t="s">
        <v>390</v>
      </c>
      <c r="C608" s="286">
        <v>42307.677233796298</v>
      </c>
      <c r="D608" t="s">
        <v>382</v>
      </c>
      <c r="E608">
        <v>0</v>
      </c>
      <c r="F608" s="287"/>
      <c r="G608" s="287"/>
      <c r="H608" s="287"/>
      <c r="I608" t="s">
        <v>382</v>
      </c>
      <c r="J608" t="s">
        <v>42</v>
      </c>
    </row>
    <row r="609" spans="1:10" x14ac:dyDescent="0.25">
      <c r="A609" t="s">
        <v>396</v>
      </c>
      <c r="C609" s="286">
        <v>42307.719409722224</v>
      </c>
      <c r="D609" t="s">
        <v>382</v>
      </c>
      <c r="E609">
        <v>0</v>
      </c>
      <c r="F609" s="287"/>
      <c r="G609" s="287"/>
      <c r="H609" s="287"/>
      <c r="I609" t="s">
        <v>382</v>
      </c>
      <c r="J609" t="s">
        <v>42</v>
      </c>
    </row>
    <row r="610" spans="1:10" x14ac:dyDescent="0.25">
      <c r="A610" t="s">
        <v>390</v>
      </c>
      <c r="C610" s="286">
        <v>42307.737372685187</v>
      </c>
      <c r="D610" t="s">
        <v>382</v>
      </c>
      <c r="E610">
        <v>0</v>
      </c>
      <c r="F610" s="287"/>
      <c r="G610" s="287"/>
      <c r="H610" s="287"/>
      <c r="I610" t="s">
        <v>382</v>
      </c>
      <c r="J610" t="s">
        <v>42</v>
      </c>
    </row>
    <row r="611" spans="1:10" x14ac:dyDescent="0.25">
      <c r="A611" t="s">
        <v>406</v>
      </c>
      <c r="C611" s="286">
        <v>42307.857499999998</v>
      </c>
      <c r="D611" t="s">
        <v>382</v>
      </c>
      <c r="E611">
        <v>0</v>
      </c>
      <c r="F611" s="287"/>
      <c r="G611" s="287"/>
      <c r="H611" s="287"/>
      <c r="I611" t="s">
        <v>382</v>
      </c>
      <c r="J611" t="s">
        <v>42</v>
      </c>
    </row>
    <row r="612" spans="1:10" x14ac:dyDescent="0.25">
      <c r="A612" t="s">
        <v>404</v>
      </c>
      <c r="C612" s="286">
        <v>42308.231423611112</v>
      </c>
      <c r="D612" t="s">
        <v>382</v>
      </c>
      <c r="E612">
        <v>0</v>
      </c>
      <c r="F612" s="287"/>
      <c r="G612" s="287"/>
      <c r="H612" s="287"/>
      <c r="I612" t="s">
        <v>382</v>
      </c>
      <c r="J612" t="s">
        <v>42</v>
      </c>
    </row>
    <row r="613" spans="1:10" x14ac:dyDescent="0.25">
      <c r="A613" t="s">
        <v>396</v>
      </c>
      <c r="C613" s="286">
        <v>42308.663842592592</v>
      </c>
      <c r="D613" t="s">
        <v>382</v>
      </c>
      <c r="E613">
        <v>0</v>
      </c>
      <c r="F613" s="287"/>
      <c r="G613" s="287"/>
      <c r="H613" s="287"/>
      <c r="I613" t="s">
        <v>382</v>
      </c>
      <c r="J613" t="s">
        <v>42</v>
      </c>
    </row>
    <row r="614" spans="1:10" x14ac:dyDescent="0.25">
      <c r="A614" t="s">
        <v>390</v>
      </c>
      <c r="C614" s="286">
        <v>42308.716527777775</v>
      </c>
      <c r="D614" t="s">
        <v>382</v>
      </c>
      <c r="E614">
        <v>0</v>
      </c>
      <c r="F614" s="287"/>
      <c r="G614" s="287"/>
      <c r="H614" s="287"/>
      <c r="I614" t="s">
        <v>382</v>
      </c>
      <c r="J614" t="s">
        <v>42</v>
      </c>
    </row>
    <row r="615" spans="1:10" x14ac:dyDescent="0.25">
      <c r="A615" t="s">
        <v>411</v>
      </c>
      <c r="C615" s="286">
        <v>42308.732638888891</v>
      </c>
      <c r="D615" t="s">
        <v>382</v>
      </c>
      <c r="E615">
        <v>0</v>
      </c>
      <c r="F615" s="287"/>
      <c r="G615" s="287"/>
      <c r="H615" s="287"/>
      <c r="I615" t="s">
        <v>382</v>
      </c>
      <c r="J615" t="s">
        <v>42</v>
      </c>
    </row>
    <row r="616" spans="1:10" x14ac:dyDescent="0.25">
      <c r="A616" t="s">
        <v>396</v>
      </c>
      <c r="C616" s="286">
        <v>42309.291481481479</v>
      </c>
      <c r="D616" t="s">
        <v>382</v>
      </c>
      <c r="E616">
        <v>0</v>
      </c>
      <c r="F616" s="287"/>
      <c r="G616" s="287"/>
      <c r="H616" s="287"/>
      <c r="I616" t="s">
        <v>382</v>
      </c>
      <c r="J616" t="s">
        <v>42</v>
      </c>
    </row>
    <row r="617" spans="1:10" x14ac:dyDescent="0.25">
      <c r="A617" t="s">
        <v>390</v>
      </c>
      <c r="C617" s="286">
        <v>42309.805636574078</v>
      </c>
      <c r="D617" t="s">
        <v>382</v>
      </c>
      <c r="E617">
        <v>0</v>
      </c>
      <c r="F617" s="287"/>
      <c r="G617" s="287"/>
      <c r="H617" s="287"/>
      <c r="I617" t="s">
        <v>382</v>
      </c>
      <c r="J617" t="s">
        <v>42</v>
      </c>
    </row>
    <row r="618" spans="1:10" x14ac:dyDescent="0.25">
      <c r="A618" t="s">
        <v>396</v>
      </c>
      <c r="C618" s="286">
        <v>42309.89439814815</v>
      </c>
      <c r="D618" t="s">
        <v>382</v>
      </c>
      <c r="E618">
        <v>0</v>
      </c>
      <c r="F618" s="287"/>
      <c r="G618" s="287"/>
      <c r="H618" s="287"/>
      <c r="I618" t="s">
        <v>382</v>
      </c>
      <c r="J618" t="s">
        <v>42</v>
      </c>
    </row>
    <row r="619" spans="1:10" x14ac:dyDescent="0.25">
      <c r="A619" t="s">
        <v>390</v>
      </c>
      <c r="C619" s="286">
        <v>42310.726689814815</v>
      </c>
      <c r="D619" t="s">
        <v>382</v>
      </c>
      <c r="E619">
        <v>0</v>
      </c>
      <c r="F619" s="287"/>
      <c r="G619" s="287"/>
      <c r="H619" s="287"/>
      <c r="I619" t="s">
        <v>382</v>
      </c>
      <c r="J619" t="s">
        <v>42</v>
      </c>
    </row>
    <row r="620" spans="1:10" x14ac:dyDescent="0.25">
      <c r="A620" t="s">
        <v>396</v>
      </c>
      <c r="C620" s="286">
        <v>42311.366226851853</v>
      </c>
      <c r="D620" t="s">
        <v>382</v>
      </c>
      <c r="E620">
        <v>0</v>
      </c>
      <c r="F620" s="287"/>
      <c r="G620" s="287"/>
      <c r="H620" s="287"/>
      <c r="I620" t="s">
        <v>382</v>
      </c>
      <c r="J620" t="s">
        <v>42</v>
      </c>
    </row>
    <row r="621" spans="1:10" x14ac:dyDescent="0.25">
      <c r="A621" t="s">
        <v>390</v>
      </c>
      <c r="C621" s="286">
        <v>42311.498692129629</v>
      </c>
      <c r="D621" t="s">
        <v>382</v>
      </c>
      <c r="E621">
        <v>0</v>
      </c>
      <c r="F621" s="287"/>
      <c r="G621" s="287"/>
      <c r="H621" s="287"/>
      <c r="I621" t="s">
        <v>382</v>
      </c>
      <c r="J621" t="s">
        <v>42</v>
      </c>
    </row>
    <row r="622" spans="1:10" x14ac:dyDescent="0.25">
      <c r="A622" t="s">
        <v>390</v>
      </c>
      <c r="C622" s="286">
        <v>42311.774641203701</v>
      </c>
      <c r="D622" t="s">
        <v>382</v>
      </c>
      <c r="E622">
        <v>0</v>
      </c>
      <c r="F622" s="287"/>
      <c r="G622" s="287"/>
      <c r="H622" s="287"/>
      <c r="I622" t="s">
        <v>382</v>
      </c>
      <c r="J622" t="s">
        <v>42</v>
      </c>
    </row>
    <row r="623" spans="1:10" x14ac:dyDescent="0.25">
      <c r="A623" t="s">
        <v>396</v>
      </c>
      <c r="C623" s="286">
        <v>42312.380462962959</v>
      </c>
      <c r="D623" t="s">
        <v>382</v>
      </c>
      <c r="E623">
        <v>0</v>
      </c>
      <c r="F623" s="287"/>
      <c r="G623" s="287"/>
      <c r="H623" s="287"/>
      <c r="I623" t="s">
        <v>382</v>
      </c>
      <c r="J623" t="s">
        <v>42</v>
      </c>
    </row>
    <row r="624" spans="1:10" x14ac:dyDescent="0.25">
      <c r="A624" t="s">
        <v>390</v>
      </c>
      <c r="C624" s="286">
        <v>42312.724074074074</v>
      </c>
      <c r="D624" t="s">
        <v>382</v>
      </c>
      <c r="E624">
        <v>0</v>
      </c>
      <c r="F624" s="287"/>
      <c r="G624" s="287"/>
      <c r="H624" s="287"/>
      <c r="I624" t="s">
        <v>382</v>
      </c>
      <c r="J624" t="s">
        <v>42</v>
      </c>
    </row>
    <row r="625" spans="1:10" x14ac:dyDescent="0.25">
      <c r="A625" t="s">
        <v>390</v>
      </c>
      <c r="C625" s="286">
        <v>42312.844664351855</v>
      </c>
      <c r="D625" t="s">
        <v>382</v>
      </c>
      <c r="E625">
        <v>0</v>
      </c>
      <c r="F625" s="287"/>
      <c r="G625" s="287"/>
      <c r="H625" s="287"/>
      <c r="I625" t="s">
        <v>382</v>
      </c>
      <c r="J625" t="s">
        <v>42</v>
      </c>
    </row>
    <row r="626" spans="1:10" x14ac:dyDescent="0.25">
      <c r="A626" t="s">
        <v>390</v>
      </c>
      <c r="C626" s="286">
        <v>42313.222881944443</v>
      </c>
      <c r="D626" t="s">
        <v>382</v>
      </c>
      <c r="E626">
        <v>0</v>
      </c>
      <c r="F626" s="287"/>
      <c r="G626" s="287"/>
      <c r="H626" s="287"/>
      <c r="I626" t="s">
        <v>382</v>
      </c>
      <c r="J626" t="s">
        <v>42</v>
      </c>
    </row>
    <row r="627" spans="1:10" x14ac:dyDescent="0.25">
      <c r="A627" t="s">
        <v>396</v>
      </c>
      <c r="C627" s="286">
        <v>42313.452824074076</v>
      </c>
      <c r="D627" t="s">
        <v>382</v>
      </c>
      <c r="E627">
        <v>0</v>
      </c>
      <c r="F627" s="287"/>
      <c r="G627" s="287"/>
      <c r="H627" s="287"/>
      <c r="I627" t="s">
        <v>382</v>
      </c>
      <c r="J627" t="s">
        <v>42</v>
      </c>
    </row>
    <row r="628" spans="1:10" x14ac:dyDescent="0.25">
      <c r="A628" t="s">
        <v>390</v>
      </c>
      <c r="C628" s="286">
        <v>42313.493935185186</v>
      </c>
      <c r="D628" t="s">
        <v>382</v>
      </c>
      <c r="E628">
        <v>0</v>
      </c>
      <c r="F628" s="287"/>
      <c r="G628" s="287"/>
      <c r="H628" s="287"/>
      <c r="I628" t="s">
        <v>382</v>
      </c>
      <c r="J628" t="s">
        <v>42</v>
      </c>
    </row>
    <row r="629" spans="1:10" x14ac:dyDescent="0.25">
      <c r="A629" t="s">
        <v>390</v>
      </c>
      <c r="C629" s="286">
        <v>42313.725312499999</v>
      </c>
      <c r="D629" t="s">
        <v>382</v>
      </c>
      <c r="E629">
        <v>0</v>
      </c>
      <c r="F629" s="287"/>
      <c r="G629" s="287"/>
      <c r="H629" s="287"/>
      <c r="I629" t="s">
        <v>382</v>
      </c>
      <c r="J629" t="s">
        <v>42</v>
      </c>
    </row>
    <row r="630" spans="1:10" x14ac:dyDescent="0.25">
      <c r="A630" t="s">
        <v>408</v>
      </c>
      <c r="C630" s="286">
        <v>42313.746944444443</v>
      </c>
      <c r="D630" t="s">
        <v>382</v>
      </c>
      <c r="E630">
        <v>0</v>
      </c>
      <c r="F630" s="287"/>
      <c r="G630" s="287"/>
      <c r="H630" s="287"/>
      <c r="I630" t="s">
        <v>382</v>
      </c>
      <c r="J630" t="s">
        <v>42</v>
      </c>
    </row>
    <row r="631" spans="1:10" x14ac:dyDescent="0.25">
      <c r="A631" t="s">
        <v>408</v>
      </c>
      <c r="C631" s="286">
        <v>42313.74722222222</v>
      </c>
      <c r="D631" t="s">
        <v>382</v>
      </c>
      <c r="E631">
        <v>0</v>
      </c>
      <c r="F631" s="287"/>
      <c r="G631" s="287"/>
      <c r="H631" s="287"/>
      <c r="I631" t="s">
        <v>382</v>
      </c>
      <c r="J631" t="s">
        <v>42</v>
      </c>
    </row>
    <row r="632" spans="1:10" x14ac:dyDescent="0.25">
      <c r="A632" t="s">
        <v>396</v>
      </c>
      <c r="C632" s="286">
        <v>42314.408263888887</v>
      </c>
      <c r="D632" t="s">
        <v>382</v>
      </c>
      <c r="E632">
        <v>0</v>
      </c>
      <c r="F632" s="287"/>
      <c r="G632" s="287"/>
      <c r="H632" s="287"/>
      <c r="I632" t="s">
        <v>382</v>
      </c>
      <c r="J632" t="s">
        <v>42</v>
      </c>
    </row>
    <row r="633" spans="1:10" x14ac:dyDescent="0.25">
      <c r="A633" t="s">
        <v>390</v>
      </c>
      <c r="C633" s="286">
        <v>42314.729664351849</v>
      </c>
      <c r="D633" t="s">
        <v>382</v>
      </c>
      <c r="E633">
        <v>0</v>
      </c>
      <c r="F633" s="287"/>
      <c r="G633" s="287"/>
      <c r="H633" s="287"/>
      <c r="I633" t="s">
        <v>382</v>
      </c>
      <c r="J633" t="s">
        <v>42</v>
      </c>
    </row>
    <row r="634" spans="1:10" x14ac:dyDescent="0.25">
      <c r="A634" t="s">
        <v>396</v>
      </c>
      <c r="C634" s="286">
        <v>42315.432997685188</v>
      </c>
      <c r="D634" t="s">
        <v>382</v>
      </c>
      <c r="E634">
        <v>0</v>
      </c>
      <c r="F634" s="287"/>
      <c r="G634" s="287"/>
      <c r="H634" s="287"/>
      <c r="I634" t="s">
        <v>382</v>
      </c>
      <c r="J634" t="s">
        <v>42</v>
      </c>
    </row>
    <row r="635" spans="1:10" x14ac:dyDescent="0.25">
      <c r="A635" t="s">
        <v>390</v>
      </c>
      <c r="C635" s="286">
        <v>42315.778761574074</v>
      </c>
      <c r="D635" t="s">
        <v>382</v>
      </c>
      <c r="E635">
        <v>0</v>
      </c>
      <c r="F635" s="287"/>
      <c r="G635" s="287"/>
      <c r="H635" s="287"/>
      <c r="I635" t="s">
        <v>382</v>
      </c>
      <c r="J635" t="s">
        <v>42</v>
      </c>
    </row>
    <row r="636" spans="1:10" x14ac:dyDescent="0.25">
      <c r="A636" t="s">
        <v>406</v>
      </c>
      <c r="C636" s="286">
        <v>42315.858564814815</v>
      </c>
      <c r="D636" t="s">
        <v>382</v>
      </c>
      <c r="E636">
        <v>0</v>
      </c>
      <c r="F636" s="287"/>
      <c r="G636" s="287"/>
      <c r="H636" s="287"/>
      <c r="I636" t="s">
        <v>382</v>
      </c>
      <c r="J636" t="s">
        <v>42</v>
      </c>
    </row>
    <row r="637" spans="1:10" x14ac:dyDescent="0.25">
      <c r="A637" t="s">
        <v>396</v>
      </c>
      <c r="C637" s="286">
        <v>42316.386747685188</v>
      </c>
      <c r="D637" t="s">
        <v>382</v>
      </c>
      <c r="E637">
        <v>0</v>
      </c>
      <c r="F637" s="287"/>
      <c r="G637" s="287"/>
      <c r="H637" s="287"/>
      <c r="I637" t="s">
        <v>382</v>
      </c>
      <c r="J637" t="s">
        <v>42</v>
      </c>
    </row>
    <row r="638" spans="1:10" x14ac:dyDescent="0.25">
      <c r="A638" t="s">
        <v>390</v>
      </c>
      <c r="C638" s="286">
        <v>42316.682928240742</v>
      </c>
      <c r="D638" t="s">
        <v>382</v>
      </c>
      <c r="E638">
        <v>0</v>
      </c>
      <c r="F638" s="287"/>
      <c r="G638" s="287"/>
      <c r="H638" s="287"/>
      <c r="I638" t="s">
        <v>382</v>
      </c>
      <c r="J638" t="s">
        <v>42</v>
      </c>
    </row>
    <row r="639" spans="1:10" x14ac:dyDescent="0.25">
      <c r="A639" t="s">
        <v>390</v>
      </c>
      <c r="C639" s="286">
        <v>42316.689085648148</v>
      </c>
      <c r="D639" t="s">
        <v>382</v>
      </c>
      <c r="E639">
        <v>0</v>
      </c>
      <c r="F639" s="287"/>
      <c r="G639" s="287"/>
      <c r="H639" s="287"/>
      <c r="I639" t="s">
        <v>382</v>
      </c>
      <c r="J639" t="s">
        <v>42</v>
      </c>
    </row>
    <row r="640" spans="1:10" x14ac:dyDescent="0.25">
      <c r="A640" t="s">
        <v>396</v>
      </c>
      <c r="C640" s="286">
        <v>42317.427708333336</v>
      </c>
      <c r="D640" t="s">
        <v>382</v>
      </c>
      <c r="E640">
        <v>0</v>
      </c>
      <c r="F640" s="287"/>
      <c r="G640" s="287"/>
      <c r="H640" s="287"/>
      <c r="I640" t="s">
        <v>382</v>
      </c>
      <c r="J640" t="s">
        <v>42</v>
      </c>
    </row>
    <row r="641" spans="1:10" x14ac:dyDescent="0.25">
      <c r="A641" t="s">
        <v>390</v>
      </c>
      <c r="C641" s="286">
        <v>42317.466666666667</v>
      </c>
      <c r="D641" t="s">
        <v>382</v>
      </c>
      <c r="E641">
        <v>0</v>
      </c>
      <c r="F641" s="287"/>
      <c r="G641" s="287"/>
      <c r="H641" s="287"/>
      <c r="I641" t="s">
        <v>382</v>
      </c>
      <c r="J641" t="s">
        <v>42</v>
      </c>
    </row>
    <row r="642" spans="1:10" x14ac:dyDescent="0.25">
      <c r="A642" t="s">
        <v>390</v>
      </c>
      <c r="C642" s="286">
        <v>42317.473229166666</v>
      </c>
      <c r="D642" t="s">
        <v>382</v>
      </c>
      <c r="E642">
        <v>0</v>
      </c>
      <c r="F642" s="287"/>
      <c r="G642" s="287"/>
      <c r="H642" s="287"/>
      <c r="I642" t="s">
        <v>382</v>
      </c>
      <c r="J642" t="s">
        <v>42</v>
      </c>
    </row>
    <row r="643" spans="1:10" x14ac:dyDescent="0.25">
      <c r="A643" t="s">
        <v>390</v>
      </c>
      <c r="C643" s="286">
        <v>42317.702731481484</v>
      </c>
      <c r="D643" t="s">
        <v>382</v>
      </c>
      <c r="E643">
        <v>0</v>
      </c>
      <c r="F643" s="287"/>
      <c r="G643" s="287"/>
      <c r="H643" s="287"/>
      <c r="I643" t="s">
        <v>382</v>
      </c>
      <c r="J643" t="s">
        <v>42</v>
      </c>
    </row>
    <row r="644" spans="1:10" x14ac:dyDescent="0.25">
      <c r="A644" t="s">
        <v>396</v>
      </c>
      <c r="C644" s="286">
        <v>42318.379803240743</v>
      </c>
      <c r="D644" t="s">
        <v>382</v>
      </c>
      <c r="E644">
        <v>0</v>
      </c>
      <c r="F644" s="287"/>
      <c r="G644" s="287"/>
      <c r="H644" s="287"/>
      <c r="I644" t="s">
        <v>382</v>
      </c>
      <c r="J644" t="s">
        <v>42</v>
      </c>
    </row>
    <row r="645" spans="1:10" x14ac:dyDescent="0.25">
      <c r="A645" t="s">
        <v>390</v>
      </c>
      <c r="C645" s="286">
        <v>42318.700601851851</v>
      </c>
      <c r="D645" t="s">
        <v>382</v>
      </c>
      <c r="E645">
        <v>0</v>
      </c>
      <c r="F645" s="287"/>
      <c r="G645" s="287"/>
      <c r="H645" s="287"/>
      <c r="I645" t="s">
        <v>382</v>
      </c>
      <c r="J645" t="s">
        <v>42</v>
      </c>
    </row>
    <row r="646" spans="1:10" x14ac:dyDescent="0.25">
      <c r="A646" t="s">
        <v>396</v>
      </c>
      <c r="C646" s="286">
        <v>42319.435567129629</v>
      </c>
      <c r="D646" t="s">
        <v>382</v>
      </c>
      <c r="E646">
        <v>0</v>
      </c>
      <c r="F646" s="287"/>
      <c r="G646" s="287"/>
      <c r="H646" s="287"/>
      <c r="I646" t="s">
        <v>382</v>
      </c>
      <c r="J646" t="s">
        <v>42</v>
      </c>
    </row>
    <row r="647" spans="1:10" x14ac:dyDescent="0.25">
      <c r="A647" t="s">
        <v>390</v>
      </c>
      <c r="C647" s="286">
        <v>42319.541851851849</v>
      </c>
      <c r="D647" t="s">
        <v>382</v>
      </c>
      <c r="E647">
        <v>0</v>
      </c>
      <c r="F647" s="287"/>
      <c r="G647" s="287"/>
      <c r="H647" s="287"/>
      <c r="I647" t="s">
        <v>382</v>
      </c>
      <c r="J647" t="s">
        <v>42</v>
      </c>
    </row>
    <row r="648" spans="1:10" x14ac:dyDescent="0.25">
      <c r="A648" t="s">
        <v>390</v>
      </c>
      <c r="C648" s="286">
        <v>42319.729675925926</v>
      </c>
      <c r="D648" t="s">
        <v>382</v>
      </c>
      <c r="E648">
        <v>0</v>
      </c>
      <c r="F648" s="287"/>
      <c r="G648" s="287"/>
      <c r="H648" s="287"/>
      <c r="I648" t="s">
        <v>382</v>
      </c>
      <c r="J648" t="s">
        <v>42</v>
      </c>
    </row>
    <row r="649" spans="1:10" x14ac:dyDescent="0.25">
      <c r="A649" t="s">
        <v>390</v>
      </c>
      <c r="C649" s="286">
        <v>42319.812905092593</v>
      </c>
      <c r="D649" t="s">
        <v>382</v>
      </c>
      <c r="E649">
        <v>0</v>
      </c>
      <c r="F649" s="287"/>
      <c r="G649" s="287"/>
      <c r="H649" s="287"/>
      <c r="I649" t="s">
        <v>382</v>
      </c>
      <c r="J649" t="s">
        <v>42</v>
      </c>
    </row>
    <row r="650" spans="1:10" x14ac:dyDescent="0.25">
      <c r="A650" t="s">
        <v>390</v>
      </c>
      <c r="C650" s="286">
        <v>42320.116238425922</v>
      </c>
      <c r="D650" t="s">
        <v>382</v>
      </c>
      <c r="E650">
        <v>0</v>
      </c>
      <c r="F650" s="287"/>
      <c r="G650" s="287"/>
      <c r="H650" s="287"/>
      <c r="I650" t="s">
        <v>382</v>
      </c>
      <c r="J650" t="s">
        <v>42</v>
      </c>
    </row>
    <row r="651" spans="1:10" x14ac:dyDescent="0.25">
      <c r="A651" t="s">
        <v>390</v>
      </c>
      <c r="C651" s="286">
        <v>42320.720879629633</v>
      </c>
      <c r="D651" t="s">
        <v>382</v>
      </c>
      <c r="E651">
        <v>0</v>
      </c>
      <c r="F651" s="287"/>
      <c r="G651" s="287"/>
      <c r="H651" s="287"/>
      <c r="I651" t="s">
        <v>382</v>
      </c>
      <c r="J651" t="s">
        <v>42</v>
      </c>
    </row>
    <row r="652" spans="1:10" x14ac:dyDescent="0.25">
      <c r="A652" t="s">
        <v>396</v>
      </c>
      <c r="C652" s="286">
        <v>42321.046689814815</v>
      </c>
      <c r="D652" t="s">
        <v>382</v>
      </c>
      <c r="E652">
        <v>0</v>
      </c>
      <c r="F652" s="287"/>
      <c r="G652" s="287"/>
      <c r="H652" s="287"/>
      <c r="I652" t="s">
        <v>382</v>
      </c>
      <c r="J652" t="s">
        <v>42</v>
      </c>
    </row>
    <row r="653" spans="1:10" x14ac:dyDescent="0.25">
      <c r="A653" t="s">
        <v>390</v>
      </c>
      <c r="C653" s="286">
        <v>42321.732604166667</v>
      </c>
      <c r="D653" t="s">
        <v>382</v>
      </c>
      <c r="E653">
        <v>0</v>
      </c>
      <c r="F653" s="287"/>
      <c r="G653" s="287"/>
      <c r="H653" s="287"/>
      <c r="I653" t="s">
        <v>382</v>
      </c>
      <c r="J653" t="s">
        <v>42</v>
      </c>
    </row>
    <row r="654" spans="1:10" x14ac:dyDescent="0.25">
      <c r="A654" t="s">
        <v>396</v>
      </c>
      <c r="C654" s="286">
        <v>42322.383402777778</v>
      </c>
      <c r="D654" t="s">
        <v>382</v>
      </c>
      <c r="E654">
        <v>0</v>
      </c>
      <c r="F654" s="287"/>
      <c r="G654" s="287"/>
      <c r="H654" s="287"/>
      <c r="I654" t="s">
        <v>382</v>
      </c>
      <c r="J654" t="s">
        <v>42</v>
      </c>
    </row>
    <row r="655" spans="1:10" x14ac:dyDescent="0.25">
      <c r="A655" t="s">
        <v>390</v>
      </c>
      <c r="C655" s="286">
        <v>42322.699305555558</v>
      </c>
      <c r="D655" t="s">
        <v>382</v>
      </c>
      <c r="E655">
        <v>0</v>
      </c>
      <c r="F655" s="287"/>
      <c r="G655" s="287"/>
      <c r="H655" s="287"/>
      <c r="I655" t="s">
        <v>382</v>
      </c>
      <c r="J655" t="s">
        <v>42</v>
      </c>
    </row>
    <row r="656" spans="1:10" x14ac:dyDescent="0.25">
      <c r="A656" t="s">
        <v>406</v>
      </c>
      <c r="C656" s="286">
        <v>42322.818657407406</v>
      </c>
      <c r="D656" t="s">
        <v>382</v>
      </c>
      <c r="E656">
        <v>0</v>
      </c>
      <c r="F656" s="287"/>
      <c r="G656" s="287"/>
      <c r="H656" s="287"/>
      <c r="I656" t="s">
        <v>382</v>
      </c>
      <c r="J656" t="s">
        <v>42</v>
      </c>
    </row>
    <row r="657" spans="1:10" x14ac:dyDescent="0.25">
      <c r="A657" t="s">
        <v>396</v>
      </c>
      <c r="C657" s="286">
        <v>42323.360150462962</v>
      </c>
      <c r="D657" t="s">
        <v>382</v>
      </c>
      <c r="E657">
        <v>0</v>
      </c>
      <c r="F657" s="287"/>
      <c r="G657" s="287"/>
      <c r="H657" s="287"/>
      <c r="I657" t="s">
        <v>382</v>
      </c>
      <c r="J657" t="s">
        <v>42</v>
      </c>
    </row>
    <row r="658" spans="1:10" x14ac:dyDescent="0.25">
      <c r="A658" t="s">
        <v>390</v>
      </c>
      <c r="C658" s="286">
        <v>42323.785185185188</v>
      </c>
      <c r="D658" t="s">
        <v>382</v>
      </c>
      <c r="E658">
        <v>0</v>
      </c>
      <c r="F658" s="287"/>
      <c r="G658" s="287"/>
      <c r="H658" s="287"/>
      <c r="I658" t="s">
        <v>382</v>
      </c>
      <c r="J658" t="s">
        <v>42</v>
      </c>
    </row>
    <row r="659" spans="1:10" x14ac:dyDescent="0.25">
      <c r="A659" t="s">
        <v>390</v>
      </c>
      <c r="C659" s="286">
        <v>42323.829502314817</v>
      </c>
      <c r="D659" t="s">
        <v>382</v>
      </c>
      <c r="E659">
        <v>0</v>
      </c>
      <c r="F659" s="287"/>
      <c r="G659" s="287"/>
      <c r="H659" s="287"/>
      <c r="I659" t="s">
        <v>382</v>
      </c>
      <c r="J659" t="s">
        <v>42</v>
      </c>
    </row>
    <row r="660" spans="1:10" x14ac:dyDescent="0.25">
      <c r="A660" t="s">
        <v>396</v>
      </c>
      <c r="C660" s="286">
        <v>42324.432280092595</v>
      </c>
      <c r="D660" t="s">
        <v>382</v>
      </c>
      <c r="E660">
        <v>0</v>
      </c>
      <c r="F660" s="287"/>
      <c r="G660" s="287"/>
      <c r="H660" s="287"/>
      <c r="I660" t="s">
        <v>382</v>
      </c>
      <c r="J660" t="s">
        <v>42</v>
      </c>
    </row>
    <row r="661" spans="1:10" x14ac:dyDescent="0.25">
      <c r="A661" t="s">
        <v>390</v>
      </c>
      <c r="C661" s="286">
        <v>42324.721921296295</v>
      </c>
      <c r="D661" t="s">
        <v>382</v>
      </c>
      <c r="E661">
        <v>0</v>
      </c>
      <c r="F661" s="287"/>
      <c r="G661" s="287"/>
      <c r="H661" s="287"/>
      <c r="I661" t="s">
        <v>382</v>
      </c>
      <c r="J661" t="s">
        <v>42</v>
      </c>
    </row>
    <row r="662" spans="1:10" x14ac:dyDescent="0.25">
      <c r="A662" t="s">
        <v>396</v>
      </c>
      <c r="C662" s="286">
        <v>42325.431319444448</v>
      </c>
      <c r="D662" t="s">
        <v>382</v>
      </c>
      <c r="E662">
        <v>0</v>
      </c>
      <c r="F662" s="287"/>
      <c r="G662" s="287"/>
      <c r="H662" s="287"/>
      <c r="I662" t="s">
        <v>382</v>
      </c>
      <c r="J662" t="s">
        <v>42</v>
      </c>
    </row>
    <row r="663" spans="1:10" x14ac:dyDescent="0.25">
      <c r="A663" t="s">
        <v>390</v>
      </c>
      <c r="C663" s="286">
        <v>42325.593981481485</v>
      </c>
      <c r="D663" t="s">
        <v>382</v>
      </c>
      <c r="E663">
        <v>0</v>
      </c>
      <c r="F663" s="287"/>
      <c r="G663" s="287"/>
      <c r="H663" s="287"/>
      <c r="I663" t="s">
        <v>382</v>
      </c>
      <c r="J663" t="s">
        <v>42</v>
      </c>
    </row>
    <row r="664" spans="1:10" x14ac:dyDescent="0.25">
      <c r="A664" t="s">
        <v>390</v>
      </c>
      <c r="C664" s="286">
        <v>42325.73400462963</v>
      </c>
      <c r="D664" t="s">
        <v>382</v>
      </c>
      <c r="E664">
        <v>0</v>
      </c>
      <c r="F664" s="287"/>
      <c r="G664" s="287"/>
      <c r="H664" s="287"/>
      <c r="I664" t="s">
        <v>382</v>
      </c>
      <c r="J664" t="s">
        <v>42</v>
      </c>
    </row>
    <row r="665" spans="1:10" x14ac:dyDescent="0.25">
      <c r="A665" t="s">
        <v>396</v>
      </c>
      <c r="C665" s="286">
        <v>42326.433344907404</v>
      </c>
      <c r="D665" t="s">
        <v>382</v>
      </c>
      <c r="E665">
        <v>0</v>
      </c>
      <c r="F665" s="287"/>
      <c r="G665" s="287"/>
      <c r="H665" s="287"/>
      <c r="I665" t="s">
        <v>382</v>
      </c>
      <c r="J665" t="s">
        <v>42</v>
      </c>
    </row>
    <row r="666" spans="1:10" x14ac:dyDescent="0.25">
      <c r="A666" t="s">
        <v>390</v>
      </c>
      <c r="C666" s="286">
        <v>42326.714317129627</v>
      </c>
      <c r="D666" t="s">
        <v>382</v>
      </c>
      <c r="E666">
        <v>0</v>
      </c>
      <c r="F666" s="287"/>
      <c r="G666" s="287"/>
      <c r="H666" s="287"/>
      <c r="I666" t="s">
        <v>382</v>
      </c>
      <c r="J666" t="s">
        <v>42</v>
      </c>
    </row>
    <row r="667" spans="1:10" x14ac:dyDescent="0.25">
      <c r="A667" t="s">
        <v>390</v>
      </c>
      <c r="C667" s="286">
        <v>42326.737569444442</v>
      </c>
      <c r="D667" t="s">
        <v>382</v>
      </c>
      <c r="E667">
        <v>0</v>
      </c>
      <c r="F667" s="287"/>
      <c r="G667" s="287"/>
      <c r="H667" s="287"/>
      <c r="I667" t="s">
        <v>382</v>
      </c>
      <c r="J667" t="s">
        <v>42</v>
      </c>
    </row>
    <row r="668" spans="1:10" x14ac:dyDescent="0.25">
      <c r="A668" t="s">
        <v>390</v>
      </c>
      <c r="C668" s="286">
        <v>42326.80023148148</v>
      </c>
      <c r="D668" t="s">
        <v>382</v>
      </c>
      <c r="E668">
        <v>0</v>
      </c>
      <c r="F668" s="287"/>
      <c r="G668" s="287"/>
      <c r="H668" s="287"/>
      <c r="I668" t="s">
        <v>382</v>
      </c>
      <c r="J668" t="s">
        <v>42</v>
      </c>
    </row>
    <row r="669" spans="1:10" x14ac:dyDescent="0.25">
      <c r="A669" t="s">
        <v>396</v>
      </c>
      <c r="C669" s="286">
        <v>42327.423159722224</v>
      </c>
      <c r="D669" t="s">
        <v>382</v>
      </c>
      <c r="E669">
        <v>0</v>
      </c>
      <c r="F669" s="287"/>
      <c r="G669" s="287"/>
      <c r="H669" s="287"/>
      <c r="I669" t="s">
        <v>382</v>
      </c>
      <c r="J669" t="s">
        <v>42</v>
      </c>
    </row>
    <row r="670" spans="1:10" x14ac:dyDescent="0.25">
      <c r="A670" t="s">
        <v>390</v>
      </c>
      <c r="C670" s="286">
        <v>42327.745127314818</v>
      </c>
      <c r="D670" t="s">
        <v>382</v>
      </c>
      <c r="E670">
        <v>0</v>
      </c>
      <c r="F670" s="287"/>
      <c r="G670" s="287"/>
      <c r="H670" s="287"/>
      <c r="I670" t="s">
        <v>382</v>
      </c>
      <c r="J670" t="s">
        <v>42</v>
      </c>
    </row>
    <row r="671" spans="1:10" x14ac:dyDescent="0.25">
      <c r="A671" t="s">
        <v>390</v>
      </c>
      <c r="C671" s="286">
        <v>42327.763541666667</v>
      </c>
      <c r="D671" t="s">
        <v>382</v>
      </c>
      <c r="E671">
        <v>0</v>
      </c>
      <c r="F671" s="287"/>
      <c r="G671" s="287"/>
      <c r="H671" s="287"/>
      <c r="I671" t="s">
        <v>382</v>
      </c>
      <c r="J671" t="s">
        <v>42</v>
      </c>
    </row>
    <row r="672" spans="1:10" x14ac:dyDescent="0.25">
      <c r="A672" t="s">
        <v>396</v>
      </c>
      <c r="C672" s="286">
        <v>42328.430196759262</v>
      </c>
      <c r="D672" t="s">
        <v>382</v>
      </c>
      <c r="E672">
        <v>0</v>
      </c>
      <c r="F672" s="287"/>
      <c r="G672" s="287"/>
      <c r="H672" s="287"/>
      <c r="I672" t="s">
        <v>382</v>
      </c>
      <c r="J672" t="s">
        <v>42</v>
      </c>
    </row>
    <row r="673" spans="1:10" x14ac:dyDescent="0.25">
      <c r="A673" t="s">
        <v>390</v>
      </c>
      <c r="C673" s="286">
        <v>42328.771215277775</v>
      </c>
      <c r="D673" t="s">
        <v>382</v>
      </c>
      <c r="E673">
        <v>0</v>
      </c>
      <c r="F673" s="287"/>
      <c r="G673" s="287"/>
      <c r="H673" s="287"/>
      <c r="I673" t="s">
        <v>382</v>
      </c>
      <c r="J673" t="s">
        <v>42</v>
      </c>
    </row>
    <row r="674" spans="1:10" x14ac:dyDescent="0.25">
      <c r="A674" t="s">
        <v>390</v>
      </c>
      <c r="C674" s="286">
        <v>42328.831307870372</v>
      </c>
      <c r="D674" t="s">
        <v>382</v>
      </c>
      <c r="E674">
        <v>0</v>
      </c>
      <c r="F674" s="287"/>
      <c r="G674" s="287"/>
      <c r="H674" s="287"/>
      <c r="I674" t="s">
        <v>382</v>
      </c>
      <c r="J674" t="s">
        <v>42</v>
      </c>
    </row>
    <row r="675" spans="1:10" x14ac:dyDescent="0.25">
      <c r="A675" t="s">
        <v>396</v>
      </c>
      <c r="C675" s="286">
        <v>42329.393113425926</v>
      </c>
      <c r="D675" t="s">
        <v>382</v>
      </c>
      <c r="E675">
        <v>0</v>
      </c>
      <c r="F675" s="287"/>
      <c r="G675" s="287"/>
      <c r="H675" s="287"/>
      <c r="I675" t="s">
        <v>382</v>
      </c>
      <c r="J675" t="s">
        <v>42</v>
      </c>
    </row>
    <row r="676" spans="1:10" x14ac:dyDescent="0.25">
      <c r="A676" t="s">
        <v>390</v>
      </c>
      <c r="C676" s="286">
        <v>42329.41715277778</v>
      </c>
      <c r="D676" t="s">
        <v>382</v>
      </c>
      <c r="E676">
        <v>0</v>
      </c>
      <c r="F676" s="287"/>
      <c r="G676" s="287"/>
      <c r="H676" s="287"/>
      <c r="I676" t="s">
        <v>382</v>
      </c>
      <c r="J676" t="s">
        <v>42</v>
      </c>
    </row>
    <row r="677" spans="1:10" x14ac:dyDescent="0.25">
      <c r="A677" t="s">
        <v>390</v>
      </c>
      <c r="C677" s="286">
        <v>42329.785081018519</v>
      </c>
      <c r="D677" t="s">
        <v>382</v>
      </c>
      <c r="E677">
        <v>0</v>
      </c>
      <c r="F677" s="287"/>
      <c r="G677" s="287"/>
      <c r="H677" s="287"/>
      <c r="I677" t="s">
        <v>382</v>
      </c>
      <c r="J677" t="s">
        <v>42</v>
      </c>
    </row>
    <row r="678" spans="1:10" x14ac:dyDescent="0.25">
      <c r="A678" t="s">
        <v>396</v>
      </c>
      <c r="C678" s="286">
        <v>42330.434131944443</v>
      </c>
      <c r="D678" t="s">
        <v>382</v>
      </c>
      <c r="E678">
        <v>0</v>
      </c>
      <c r="F678" s="287"/>
      <c r="G678" s="287"/>
      <c r="H678" s="287"/>
      <c r="I678" t="s">
        <v>382</v>
      </c>
      <c r="J678" t="s">
        <v>42</v>
      </c>
    </row>
    <row r="679" spans="1:10" x14ac:dyDescent="0.25">
      <c r="A679" t="s">
        <v>390</v>
      </c>
      <c r="C679" s="286">
        <v>42330.730057870373</v>
      </c>
      <c r="D679" t="s">
        <v>382</v>
      </c>
      <c r="E679">
        <v>0</v>
      </c>
      <c r="F679" s="287"/>
      <c r="G679" s="287"/>
      <c r="H679" s="287"/>
      <c r="I679" t="s">
        <v>382</v>
      </c>
      <c r="J679" t="s">
        <v>42</v>
      </c>
    </row>
    <row r="680" spans="1:10" x14ac:dyDescent="0.25">
      <c r="A680" t="s">
        <v>390</v>
      </c>
      <c r="C680" s="286">
        <v>42330.819050925929</v>
      </c>
      <c r="D680" t="s">
        <v>382</v>
      </c>
      <c r="E680">
        <v>0</v>
      </c>
      <c r="F680" s="287"/>
      <c r="G680" s="287"/>
      <c r="H680" s="287"/>
      <c r="I680" t="s">
        <v>382</v>
      </c>
      <c r="J680" t="s">
        <v>42</v>
      </c>
    </row>
    <row r="681" spans="1:10" x14ac:dyDescent="0.25">
      <c r="A681" t="s">
        <v>396</v>
      </c>
      <c r="C681" s="286">
        <v>42331.719189814816</v>
      </c>
      <c r="D681" t="s">
        <v>382</v>
      </c>
      <c r="E681">
        <v>0</v>
      </c>
      <c r="F681" s="287"/>
      <c r="G681" s="287"/>
      <c r="H681" s="287"/>
      <c r="I681" t="s">
        <v>382</v>
      </c>
      <c r="J681" t="s">
        <v>42</v>
      </c>
    </row>
    <row r="682" spans="1:10" x14ac:dyDescent="0.25">
      <c r="A682" t="s">
        <v>390</v>
      </c>
      <c r="C682" s="286">
        <v>42331.815671296295</v>
      </c>
      <c r="D682" t="s">
        <v>382</v>
      </c>
      <c r="E682">
        <v>0</v>
      </c>
      <c r="F682" s="287"/>
      <c r="G682" s="287"/>
      <c r="H682" s="287"/>
      <c r="I682" t="s">
        <v>382</v>
      </c>
      <c r="J682" t="s">
        <v>42</v>
      </c>
    </row>
    <row r="683" spans="1:10" x14ac:dyDescent="0.25">
      <c r="A683" t="s">
        <v>404</v>
      </c>
      <c r="C683" s="286">
        <v>42332.289594907408</v>
      </c>
      <c r="D683" t="s">
        <v>382</v>
      </c>
      <c r="E683">
        <v>0</v>
      </c>
      <c r="F683" s="287"/>
      <c r="G683" s="287"/>
      <c r="H683" s="287"/>
      <c r="I683" t="s">
        <v>382</v>
      </c>
      <c r="J683" t="s">
        <v>42</v>
      </c>
    </row>
    <row r="684" spans="1:10" x14ac:dyDescent="0.25">
      <c r="A684" t="s">
        <v>396</v>
      </c>
      <c r="C684" s="286">
        <v>42332.698483796295</v>
      </c>
      <c r="D684" t="s">
        <v>382</v>
      </c>
      <c r="E684">
        <v>0</v>
      </c>
      <c r="F684" s="287"/>
      <c r="G684" s="287"/>
      <c r="H684" s="287"/>
      <c r="I684" t="s">
        <v>382</v>
      </c>
      <c r="J684" t="s">
        <v>42</v>
      </c>
    </row>
    <row r="685" spans="1:10" x14ac:dyDescent="0.25">
      <c r="A685" t="s">
        <v>390</v>
      </c>
      <c r="C685" s="286">
        <v>42332.866238425922</v>
      </c>
      <c r="D685" t="s">
        <v>382</v>
      </c>
      <c r="E685">
        <v>0</v>
      </c>
      <c r="F685" s="287"/>
      <c r="G685" s="287"/>
      <c r="H685" s="287"/>
      <c r="I685" t="s">
        <v>382</v>
      </c>
      <c r="J685" t="s">
        <v>42</v>
      </c>
    </row>
    <row r="686" spans="1:10" x14ac:dyDescent="0.25">
      <c r="A686" t="s">
        <v>390</v>
      </c>
      <c r="C686" s="286">
        <v>42333.740358796298</v>
      </c>
      <c r="D686" t="s">
        <v>382</v>
      </c>
      <c r="E686">
        <v>0</v>
      </c>
      <c r="F686" s="287"/>
      <c r="G686" s="287"/>
      <c r="H686" s="287"/>
      <c r="I686" t="s">
        <v>382</v>
      </c>
      <c r="J686" t="s">
        <v>42</v>
      </c>
    </row>
    <row r="687" spans="1:10" x14ac:dyDescent="0.25">
      <c r="A687" t="s">
        <v>396</v>
      </c>
      <c r="C687" s="286">
        <v>42333.746435185189</v>
      </c>
      <c r="D687" t="s">
        <v>382</v>
      </c>
      <c r="E687">
        <v>0</v>
      </c>
      <c r="F687" s="287"/>
      <c r="G687" s="287"/>
      <c r="H687" s="287"/>
      <c r="I687" t="s">
        <v>382</v>
      </c>
      <c r="J687" t="s">
        <v>42</v>
      </c>
    </row>
    <row r="688" spans="1:10" x14ac:dyDescent="0.25">
      <c r="A688" t="s">
        <v>390</v>
      </c>
      <c r="C688" s="286">
        <v>42333.838055555556</v>
      </c>
      <c r="D688" t="s">
        <v>382</v>
      </c>
      <c r="E688">
        <v>0</v>
      </c>
      <c r="F688" s="287"/>
      <c r="G688" s="287"/>
      <c r="H688" s="287"/>
      <c r="I688" t="s">
        <v>382</v>
      </c>
      <c r="J688" t="s">
        <v>42</v>
      </c>
    </row>
    <row r="689" spans="1:10" x14ac:dyDescent="0.25">
      <c r="A689" t="s">
        <v>390</v>
      </c>
      <c r="C689" s="286">
        <v>42333.845381944448</v>
      </c>
      <c r="D689" t="s">
        <v>382</v>
      </c>
      <c r="E689">
        <v>0</v>
      </c>
      <c r="F689" s="287"/>
      <c r="G689" s="287"/>
      <c r="H689" s="287"/>
      <c r="I689" t="s">
        <v>382</v>
      </c>
      <c r="J689" t="s">
        <v>42</v>
      </c>
    </row>
    <row r="690" spans="1:10" x14ac:dyDescent="0.25">
      <c r="A690" t="s">
        <v>412</v>
      </c>
      <c r="C690" s="286">
        <v>42333.897615740738</v>
      </c>
      <c r="D690" t="s">
        <v>382</v>
      </c>
      <c r="E690">
        <v>0</v>
      </c>
      <c r="F690" s="287"/>
      <c r="G690" s="287"/>
      <c r="H690" s="287"/>
      <c r="I690" t="s">
        <v>382</v>
      </c>
      <c r="J690" t="s">
        <v>42</v>
      </c>
    </row>
    <row r="691" spans="1:10" x14ac:dyDescent="0.25">
      <c r="A691" t="s">
        <v>412</v>
      </c>
      <c r="C691" s="286">
        <v>42333.898680555554</v>
      </c>
      <c r="D691" t="s">
        <v>382</v>
      </c>
      <c r="E691">
        <v>0</v>
      </c>
      <c r="F691" s="287"/>
      <c r="G691" s="287"/>
      <c r="H691" s="287"/>
      <c r="I691" t="s">
        <v>382</v>
      </c>
      <c r="J691" t="s">
        <v>42</v>
      </c>
    </row>
    <row r="692" spans="1:10" x14ac:dyDescent="0.25">
      <c r="A692" t="s">
        <v>406</v>
      </c>
      <c r="C692" s="286">
        <v>42334.010810185187</v>
      </c>
      <c r="D692" t="s">
        <v>382</v>
      </c>
      <c r="E692">
        <v>0</v>
      </c>
      <c r="F692" s="287"/>
      <c r="G692" s="287"/>
      <c r="H692" s="287"/>
      <c r="I692" t="s">
        <v>382</v>
      </c>
      <c r="J692" t="s">
        <v>42</v>
      </c>
    </row>
    <row r="693" spans="1:10" x14ac:dyDescent="0.25">
      <c r="A693" t="s">
        <v>396</v>
      </c>
      <c r="C693" s="286">
        <v>42334.690613425926</v>
      </c>
      <c r="D693" t="s">
        <v>382</v>
      </c>
      <c r="E693">
        <v>0</v>
      </c>
      <c r="F693" s="287"/>
      <c r="G693" s="287"/>
      <c r="H693" s="287"/>
      <c r="I693" t="s">
        <v>382</v>
      </c>
      <c r="J693" t="s">
        <v>42</v>
      </c>
    </row>
    <row r="694" spans="1:10" x14ac:dyDescent="0.25">
      <c r="A694" t="s">
        <v>390</v>
      </c>
      <c r="C694" s="286">
        <v>42334.779027777775</v>
      </c>
      <c r="D694" t="s">
        <v>382</v>
      </c>
      <c r="E694">
        <v>0</v>
      </c>
      <c r="F694" s="287"/>
      <c r="G694" s="287"/>
      <c r="H694" s="287"/>
      <c r="I694" t="s">
        <v>382</v>
      </c>
      <c r="J694" t="s">
        <v>42</v>
      </c>
    </row>
    <row r="695" spans="1:10" x14ac:dyDescent="0.25">
      <c r="A695" t="s">
        <v>390</v>
      </c>
      <c r="C695" s="286">
        <v>42335.673182870371</v>
      </c>
      <c r="D695" t="s">
        <v>382</v>
      </c>
      <c r="E695">
        <v>0</v>
      </c>
      <c r="F695" s="287"/>
      <c r="G695" s="287"/>
      <c r="H695" s="287"/>
      <c r="I695" t="s">
        <v>382</v>
      </c>
      <c r="J695" t="s">
        <v>42</v>
      </c>
    </row>
    <row r="696" spans="1:10" x14ac:dyDescent="0.25">
      <c r="A696" t="s">
        <v>396</v>
      </c>
      <c r="C696" s="286">
        <v>42335.737280092595</v>
      </c>
      <c r="D696" t="s">
        <v>382</v>
      </c>
      <c r="E696">
        <v>0</v>
      </c>
      <c r="F696" s="287"/>
      <c r="G696" s="287"/>
      <c r="H696" s="287"/>
      <c r="I696" t="s">
        <v>382</v>
      </c>
      <c r="J696" t="s">
        <v>42</v>
      </c>
    </row>
    <row r="697" spans="1:10" x14ac:dyDescent="0.25">
      <c r="A697" t="s">
        <v>390</v>
      </c>
      <c r="C697" s="286">
        <v>42335.7497337963</v>
      </c>
      <c r="D697" t="s">
        <v>382</v>
      </c>
      <c r="E697">
        <v>0</v>
      </c>
      <c r="F697" s="287"/>
      <c r="G697" s="287"/>
      <c r="H697" s="287"/>
      <c r="I697" t="s">
        <v>382</v>
      </c>
      <c r="J697" t="s">
        <v>42</v>
      </c>
    </row>
    <row r="698" spans="1:10" x14ac:dyDescent="0.25">
      <c r="A698" t="s">
        <v>390</v>
      </c>
      <c r="C698" s="286">
        <v>42335.773298611108</v>
      </c>
      <c r="D698" t="s">
        <v>382</v>
      </c>
      <c r="E698">
        <v>0</v>
      </c>
      <c r="F698" s="287"/>
      <c r="G698" s="287"/>
      <c r="H698" s="287"/>
      <c r="I698" t="s">
        <v>382</v>
      </c>
      <c r="J698" t="s">
        <v>42</v>
      </c>
    </row>
    <row r="699" spans="1:10" x14ac:dyDescent="0.25">
      <c r="A699" t="s">
        <v>404</v>
      </c>
      <c r="C699" s="286">
        <v>42336.260555555556</v>
      </c>
      <c r="D699" t="s">
        <v>382</v>
      </c>
      <c r="E699">
        <v>0</v>
      </c>
      <c r="F699" s="287"/>
      <c r="G699" s="287"/>
      <c r="H699" s="287"/>
      <c r="I699" t="s">
        <v>382</v>
      </c>
      <c r="J699" t="s">
        <v>42</v>
      </c>
    </row>
    <row r="700" spans="1:10" x14ac:dyDescent="0.25">
      <c r="A700" t="s">
        <v>390</v>
      </c>
      <c r="C700" s="286">
        <v>42336.723668981482</v>
      </c>
      <c r="D700" t="s">
        <v>382</v>
      </c>
      <c r="E700">
        <v>0</v>
      </c>
      <c r="F700" s="287"/>
      <c r="G700" s="287"/>
      <c r="H700" s="287"/>
      <c r="I700" t="s">
        <v>382</v>
      </c>
      <c r="J700" t="s">
        <v>42</v>
      </c>
    </row>
    <row r="701" spans="1:10" x14ac:dyDescent="0.25">
      <c r="A701" t="s">
        <v>396</v>
      </c>
      <c r="C701" s="286">
        <v>42336.730300925927</v>
      </c>
      <c r="D701" t="s">
        <v>382</v>
      </c>
      <c r="E701">
        <v>0</v>
      </c>
      <c r="F701" s="287"/>
      <c r="G701" s="287"/>
      <c r="H701" s="287"/>
      <c r="I701" t="s">
        <v>382</v>
      </c>
      <c r="J701" t="s">
        <v>42</v>
      </c>
    </row>
    <row r="702" spans="1:10" x14ac:dyDescent="0.25">
      <c r="A702" t="s">
        <v>390</v>
      </c>
      <c r="C702" s="286">
        <v>42336.799166666664</v>
      </c>
      <c r="D702" t="s">
        <v>382</v>
      </c>
      <c r="E702">
        <v>0</v>
      </c>
      <c r="F702" s="287"/>
      <c r="G702" s="287"/>
      <c r="H702" s="287"/>
      <c r="I702" t="s">
        <v>382</v>
      </c>
      <c r="J702" t="s">
        <v>42</v>
      </c>
    </row>
    <row r="703" spans="1:10" x14ac:dyDescent="0.25">
      <c r="A703" t="s">
        <v>396</v>
      </c>
      <c r="C703" s="286">
        <v>42337.724629629629</v>
      </c>
      <c r="D703" t="s">
        <v>382</v>
      </c>
      <c r="E703">
        <v>0</v>
      </c>
      <c r="F703" s="287"/>
      <c r="G703" s="287"/>
      <c r="H703" s="287"/>
      <c r="I703" t="s">
        <v>382</v>
      </c>
      <c r="J703" t="s">
        <v>42</v>
      </c>
    </row>
    <row r="704" spans="1:10" x14ac:dyDescent="0.25">
      <c r="A704" t="s">
        <v>390</v>
      </c>
      <c r="C704" s="286">
        <v>42337.820162037038</v>
      </c>
      <c r="D704" t="s">
        <v>382</v>
      </c>
      <c r="E704">
        <v>0</v>
      </c>
      <c r="F704" s="287"/>
      <c r="G704" s="287"/>
      <c r="H704" s="287"/>
      <c r="I704" t="s">
        <v>382</v>
      </c>
      <c r="J704" t="s">
        <v>42</v>
      </c>
    </row>
    <row r="705" spans="1:10" x14ac:dyDescent="0.25">
      <c r="A705" t="s">
        <v>396</v>
      </c>
      <c r="C705" s="286">
        <v>42338.706261574072</v>
      </c>
      <c r="D705" t="s">
        <v>382</v>
      </c>
      <c r="E705">
        <v>0</v>
      </c>
      <c r="F705" s="287"/>
      <c r="G705" s="287"/>
      <c r="H705" s="287"/>
      <c r="I705" t="s">
        <v>382</v>
      </c>
      <c r="J705" t="s">
        <v>42</v>
      </c>
    </row>
    <row r="706" spans="1:10" x14ac:dyDescent="0.25">
      <c r="A706" t="s">
        <v>390</v>
      </c>
      <c r="C706" s="286">
        <v>42338.818298611113</v>
      </c>
      <c r="D706" t="s">
        <v>382</v>
      </c>
      <c r="E706">
        <v>0</v>
      </c>
      <c r="F706" s="287"/>
      <c r="G706" s="287"/>
      <c r="H706" s="287"/>
      <c r="I706" t="s">
        <v>382</v>
      </c>
      <c r="J706" t="s">
        <v>42</v>
      </c>
    </row>
    <row r="707" spans="1:10" x14ac:dyDescent="0.25">
      <c r="A707" t="s">
        <v>396</v>
      </c>
      <c r="C707" s="286">
        <v>42339.750393518516</v>
      </c>
      <c r="D707" t="s">
        <v>382</v>
      </c>
      <c r="E707">
        <v>0</v>
      </c>
      <c r="F707" s="287"/>
      <c r="G707" s="287"/>
      <c r="H707" s="287"/>
      <c r="I707" t="s">
        <v>382</v>
      </c>
      <c r="J707" t="s">
        <v>42</v>
      </c>
    </row>
    <row r="708" spans="1:10" x14ac:dyDescent="0.25">
      <c r="A708" t="s">
        <v>390</v>
      </c>
      <c r="C708" s="286">
        <v>42339.810300925928</v>
      </c>
      <c r="D708" t="s">
        <v>382</v>
      </c>
      <c r="E708">
        <v>0</v>
      </c>
      <c r="F708" s="287"/>
      <c r="G708" s="287"/>
      <c r="H708" s="287"/>
      <c r="I708" t="s">
        <v>382</v>
      </c>
      <c r="J708" t="s">
        <v>42</v>
      </c>
    </row>
    <row r="709" spans="1:10" x14ac:dyDescent="0.25">
      <c r="A709" t="s">
        <v>390</v>
      </c>
      <c r="C709" s="286">
        <v>42340.704050925924</v>
      </c>
      <c r="D709" t="s">
        <v>382</v>
      </c>
      <c r="E709">
        <v>0</v>
      </c>
      <c r="F709" s="287"/>
      <c r="G709" s="287"/>
      <c r="H709" s="287"/>
      <c r="I709" t="s">
        <v>382</v>
      </c>
      <c r="J709" t="s">
        <v>42</v>
      </c>
    </row>
    <row r="710" spans="1:10" x14ac:dyDescent="0.25">
      <c r="A710" t="s">
        <v>396</v>
      </c>
      <c r="C710" s="286">
        <v>42340.757615740738</v>
      </c>
      <c r="D710" t="s">
        <v>382</v>
      </c>
      <c r="E710">
        <v>0</v>
      </c>
      <c r="F710" s="287"/>
      <c r="G710" s="287"/>
      <c r="H710" s="287"/>
      <c r="I710" t="s">
        <v>382</v>
      </c>
      <c r="J710" t="s">
        <v>42</v>
      </c>
    </row>
    <row r="711" spans="1:10" x14ac:dyDescent="0.25">
      <c r="A711" t="s">
        <v>390</v>
      </c>
      <c r="C711" s="286">
        <v>42340.775254629632</v>
      </c>
      <c r="D711" t="s">
        <v>382</v>
      </c>
      <c r="E711">
        <v>0</v>
      </c>
      <c r="F711" s="287"/>
      <c r="G711" s="287"/>
      <c r="H711" s="287"/>
      <c r="I711" t="s">
        <v>382</v>
      </c>
      <c r="J711" t="s">
        <v>42</v>
      </c>
    </row>
    <row r="712" spans="1:10" x14ac:dyDescent="0.25">
      <c r="A712" t="s">
        <v>390</v>
      </c>
      <c r="C712" s="286">
        <v>42340.803310185183</v>
      </c>
      <c r="D712" t="s">
        <v>382</v>
      </c>
      <c r="E712">
        <v>0</v>
      </c>
      <c r="F712" s="287"/>
      <c r="G712" s="287"/>
      <c r="H712" s="287"/>
      <c r="I712" t="s">
        <v>382</v>
      </c>
      <c r="J712" t="s">
        <v>42</v>
      </c>
    </row>
    <row r="713" spans="1:10" x14ac:dyDescent="0.25">
      <c r="A713" t="s">
        <v>390</v>
      </c>
      <c r="C713" s="286">
        <v>42340.809236111112</v>
      </c>
      <c r="D713" t="s">
        <v>382</v>
      </c>
      <c r="E713">
        <v>0</v>
      </c>
      <c r="F713" s="287"/>
      <c r="G713" s="287"/>
      <c r="H713" s="287"/>
      <c r="I713" t="s">
        <v>382</v>
      </c>
      <c r="J713" t="s">
        <v>42</v>
      </c>
    </row>
    <row r="714" spans="1:10" x14ac:dyDescent="0.25">
      <c r="A714" t="s">
        <v>396</v>
      </c>
      <c r="C714" s="286">
        <v>42341.756979166668</v>
      </c>
      <c r="D714" t="s">
        <v>382</v>
      </c>
      <c r="E714">
        <v>0</v>
      </c>
      <c r="F714" s="287"/>
      <c r="G714" s="287"/>
      <c r="H714" s="287"/>
      <c r="I714" t="s">
        <v>382</v>
      </c>
      <c r="J714" t="s">
        <v>42</v>
      </c>
    </row>
    <row r="715" spans="1:10" x14ac:dyDescent="0.25">
      <c r="A715" t="s">
        <v>390</v>
      </c>
      <c r="C715" s="286">
        <v>42341.774548611109</v>
      </c>
      <c r="D715" t="s">
        <v>382</v>
      </c>
      <c r="E715">
        <v>0</v>
      </c>
      <c r="F715" s="287"/>
      <c r="G715" s="287"/>
      <c r="H715" s="287"/>
      <c r="I715" t="s">
        <v>382</v>
      </c>
      <c r="J715" t="s">
        <v>42</v>
      </c>
    </row>
    <row r="716" spans="1:10" x14ac:dyDescent="0.25">
      <c r="A716" t="s">
        <v>390</v>
      </c>
      <c r="C716" s="286">
        <v>42341.819432870368</v>
      </c>
      <c r="D716" t="s">
        <v>382</v>
      </c>
      <c r="E716">
        <v>0</v>
      </c>
      <c r="F716" s="287"/>
      <c r="G716" s="287"/>
      <c r="H716" s="287"/>
      <c r="I716" t="s">
        <v>382</v>
      </c>
      <c r="J716" t="s">
        <v>42</v>
      </c>
    </row>
    <row r="717" spans="1:10" x14ac:dyDescent="0.25">
      <c r="A717" t="s">
        <v>390</v>
      </c>
      <c r="C717" s="286">
        <v>42342.67559027778</v>
      </c>
      <c r="D717" t="s">
        <v>382</v>
      </c>
      <c r="E717">
        <v>0</v>
      </c>
      <c r="F717" s="287"/>
      <c r="G717" s="287"/>
      <c r="H717" s="287"/>
      <c r="I717" t="s">
        <v>382</v>
      </c>
      <c r="J717" t="s">
        <v>42</v>
      </c>
    </row>
    <row r="718" spans="1:10" x14ac:dyDescent="0.25">
      <c r="A718" t="s">
        <v>390</v>
      </c>
      <c r="C718" s="286">
        <v>42342.712199074071</v>
      </c>
      <c r="D718" t="s">
        <v>382</v>
      </c>
      <c r="E718">
        <v>0</v>
      </c>
      <c r="F718" s="287"/>
      <c r="G718" s="287"/>
      <c r="H718" s="287"/>
      <c r="I718" t="s">
        <v>382</v>
      </c>
      <c r="J718" t="s">
        <v>42</v>
      </c>
    </row>
    <row r="719" spans="1:10" x14ac:dyDescent="0.25">
      <c r="A719" t="s">
        <v>396</v>
      </c>
      <c r="C719" s="286">
        <v>42342.747071759259</v>
      </c>
      <c r="D719" t="s">
        <v>382</v>
      </c>
      <c r="E719">
        <v>0</v>
      </c>
      <c r="F719" s="287"/>
      <c r="G719" s="287"/>
      <c r="H719" s="287"/>
      <c r="I719" t="s">
        <v>382</v>
      </c>
      <c r="J719" t="s">
        <v>42</v>
      </c>
    </row>
    <row r="720" spans="1:10" x14ac:dyDescent="0.25">
      <c r="A720" t="s">
        <v>390</v>
      </c>
      <c r="C720" s="286">
        <v>42342.824606481481</v>
      </c>
      <c r="D720" t="s">
        <v>382</v>
      </c>
      <c r="E720">
        <v>0</v>
      </c>
      <c r="F720" s="287"/>
      <c r="G720" s="287"/>
      <c r="H720" s="287"/>
      <c r="I720" t="s">
        <v>382</v>
      </c>
      <c r="J720" t="s">
        <v>42</v>
      </c>
    </row>
    <row r="721" spans="1:10" x14ac:dyDescent="0.25">
      <c r="A721" t="s">
        <v>396</v>
      </c>
      <c r="C721" s="286">
        <v>42343.704062500001</v>
      </c>
      <c r="D721" t="s">
        <v>382</v>
      </c>
      <c r="E721">
        <v>0</v>
      </c>
      <c r="F721" s="287"/>
      <c r="G721" s="287"/>
      <c r="H721" s="287"/>
      <c r="I721" t="s">
        <v>382</v>
      </c>
      <c r="J721" t="s">
        <v>42</v>
      </c>
    </row>
    <row r="722" spans="1:10" x14ac:dyDescent="0.25">
      <c r="A722" t="s">
        <v>406</v>
      </c>
      <c r="C722" s="286">
        <v>42343.725104166668</v>
      </c>
      <c r="D722" t="s">
        <v>382</v>
      </c>
      <c r="E722">
        <v>0</v>
      </c>
      <c r="F722" s="287"/>
      <c r="G722" s="287"/>
      <c r="H722" s="287"/>
      <c r="I722" t="s">
        <v>382</v>
      </c>
      <c r="J722" t="s">
        <v>42</v>
      </c>
    </row>
    <row r="723" spans="1:10" x14ac:dyDescent="0.25">
      <c r="A723" t="s">
        <v>390</v>
      </c>
      <c r="C723" s="286">
        <v>42343.766562500001</v>
      </c>
      <c r="D723" t="s">
        <v>382</v>
      </c>
      <c r="E723">
        <v>0</v>
      </c>
      <c r="F723" s="287"/>
      <c r="G723" s="287"/>
      <c r="H723" s="287"/>
      <c r="I723" t="s">
        <v>382</v>
      </c>
      <c r="J723" t="s">
        <v>42</v>
      </c>
    </row>
    <row r="724" spans="1:10" x14ac:dyDescent="0.25">
      <c r="A724" t="s">
        <v>390</v>
      </c>
      <c r="C724" s="286">
        <v>42344.215821759259</v>
      </c>
      <c r="D724" t="s">
        <v>382</v>
      </c>
      <c r="E724">
        <v>0</v>
      </c>
      <c r="F724" s="287"/>
      <c r="G724" s="287"/>
      <c r="H724" s="287"/>
      <c r="I724" t="s">
        <v>382</v>
      </c>
      <c r="J724" t="s">
        <v>42</v>
      </c>
    </row>
    <row r="725" spans="1:10" x14ac:dyDescent="0.25">
      <c r="A725" t="s">
        <v>396</v>
      </c>
      <c r="C725" s="286">
        <v>42344.743842592594</v>
      </c>
      <c r="D725" t="s">
        <v>382</v>
      </c>
      <c r="E725">
        <v>0</v>
      </c>
      <c r="F725" s="287"/>
      <c r="G725" s="287"/>
      <c r="H725" s="287"/>
      <c r="I725" t="s">
        <v>382</v>
      </c>
      <c r="J725" t="s">
        <v>42</v>
      </c>
    </row>
    <row r="726" spans="1:10" x14ac:dyDescent="0.25">
      <c r="A726" t="s">
        <v>390</v>
      </c>
      <c r="C726" s="286">
        <v>42344.749166666668</v>
      </c>
      <c r="D726" t="s">
        <v>382</v>
      </c>
      <c r="E726">
        <v>0</v>
      </c>
      <c r="F726" s="287"/>
      <c r="G726" s="287"/>
      <c r="H726" s="287"/>
      <c r="I726" t="s">
        <v>382</v>
      </c>
      <c r="J726" t="s">
        <v>42</v>
      </c>
    </row>
    <row r="727" spans="1:10" x14ac:dyDescent="0.25">
      <c r="A727" t="s">
        <v>396</v>
      </c>
      <c r="C727" s="286">
        <v>42345.707418981481</v>
      </c>
      <c r="D727" t="s">
        <v>382</v>
      </c>
      <c r="E727">
        <v>0</v>
      </c>
      <c r="F727" s="287"/>
      <c r="G727" s="287"/>
      <c r="H727" s="287"/>
      <c r="I727" t="s">
        <v>382</v>
      </c>
      <c r="J727" t="s">
        <v>42</v>
      </c>
    </row>
    <row r="728" spans="1:10" x14ac:dyDescent="0.25">
      <c r="A728" t="s">
        <v>390</v>
      </c>
      <c r="C728" s="286">
        <v>42345.763773148145</v>
      </c>
      <c r="D728" t="s">
        <v>382</v>
      </c>
      <c r="E728">
        <v>0</v>
      </c>
      <c r="F728" s="287"/>
      <c r="G728" s="287"/>
      <c r="H728" s="287"/>
      <c r="I728" t="s">
        <v>382</v>
      </c>
      <c r="J728" t="s">
        <v>42</v>
      </c>
    </row>
    <row r="729" spans="1:10" x14ac:dyDescent="0.25">
      <c r="A729" t="s">
        <v>390</v>
      </c>
      <c r="C729" s="286">
        <v>42345.790393518517</v>
      </c>
      <c r="D729" t="s">
        <v>382</v>
      </c>
      <c r="E729">
        <v>0</v>
      </c>
      <c r="F729" s="287"/>
      <c r="G729" s="287"/>
      <c r="H729" s="287"/>
      <c r="I729" t="s">
        <v>382</v>
      </c>
      <c r="J729" t="s">
        <v>42</v>
      </c>
    </row>
    <row r="730" spans="1:10" x14ac:dyDescent="0.25">
      <c r="A730" t="s">
        <v>390</v>
      </c>
      <c r="C730" s="286">
        <v>42346.742083333331</v>
      </c>
      <c r="D730" t="s">
        <v>382</v>
      </c>
      <c r="E730">
        <v>0</v>
      </c>
      <c r="F730" s="287"/>
      <c r="G730" s="287"/>
      <c r="H730" s="287"/>
      <c r="I730" t="s">
        <v>382</v>
      </c>
      <c r="J730" t="s">
        <v>42</v>
      </c>
    </row>
    <row r="731" spans="1:10" x14ac:dyDescent="0.25">
      <c r="A731" t="s">
        <v>396</v>
      </c>
      <c r="C731" s="286">
        <v>42346.766250000001</v>
      </c>
      <c r="D731" t="s">
        <v>382</v>
      </c>
      <c r="E731">
        <v>0</v>
      </c>
      <c r="F731" s="287"/>
      <c r="G731" s="287"/>
      <c r="H731" s="287"/>
      <c r="I731" t="s">
        <v>382</v>
      </c>
      <c r="J731" t="s">
        <v>42</v>
      </c>
    </row>
    <row r="732" spans="1:10" x14ac:dyDescent="0.25">
      <c r="A732" t="s">
        <v>390</v>
      </c>
      <c r="C732" s="286">
        <v>42346.828750000001</v>
      </c>
      <c r="D732" t="s">
        <v>382</v>
      </c>
      <c r="E732">
        <v>0</v>
      </c>
      <c r="F732" s="287"/>
      <c r="G732" s="287"/>
      <c r="H732" s="287"/>
      <c r="I732" t="s">
        <v>382</v>
      </c>
      <c r="J732" t="s">
        <v>42</v>
      </c>
    </row>
    <row r="733" spans="1:10" x14ac:dyDescent="0.25">
      <c r="A733" t="s">
        <v>390</v>
      </c>
      <c r="C733" s="286">
        <v>42347.690115740741</v>
      </c>
      <c r="D733" t="s">
        <v>382</v>
      </c>
      <c r="E733">
        <v>0</v>
      </c>
      <c r="F733" s="287"/>
      <c r="G733" s="287"/>
      <c r="H733" s="287"/>
      <c r="I733" t="s">
        <v>382</v>
      </c>
      <c r="J733" t="s">
        <v>42</v>
      </c>
    </row>
    <row r="734" spans="1:10" x14ac:dyDescent="0.25">
      <c r="A734" t="s">
        <v>396</v>
      </c>
      <c r="C734" s="286">
        <v>42347.703240740739</v>
      </c>
      <c r="D734" t="s">
        <v>382</v>
      </c>
      <c r="E734">
        <v>0</v>
      </c>
      <c r="F734" s="287"/>
      <c r="G734" s="287"/>
      <c r="H734" s="287"/>
      <c r="I734" t="s">
        <v>382</v>
      </c>
      <c r="J734" t="s">
        <v>42</v>
      </c>
    </row>
    <row r="735" spans="1:10" x14ac:dyDescent="0.25">
      <c r="A735" t="s">
        <v>390</v>
      </c>
      <c r="C735" s="286">
        <v>42347.805937500001</v>
      </c>
      <c r="D735" t="s">
        <v>382</v>
      </c>
      <c r="E735">
        <v>0</v>
      </c>
      <c r="F735" s="287"/>
      <c r="G735" s="287"/>
      <c r="H735" s="287"/>
      <c r="I735" t="s">
        <v>382</v>
      </c>
      <c r="J735" t="s">
        <v>42</v>
      </c>
    </row>
    <row r="736" spans="1:10" x14ac:dyDescent="0.25">
      <c r="A736" t="s">
        <v>390</v>
      </c>
      <c r="C736" s="286">
        <v>42347.933298611111</v>
      </c>
      <c r="D736" t="s">
        <v>382</v>
      </c>
      <c r="E736">
        <v>0</v>
      </c>
      <c r="F736" s="287"/>
      <c r="G736" s="287"/>
      <c r="H736" s="287"/>
      <c r="I736" t="s">
        <v>382</v>
      </c>
      <c r="J736" t="s">
        <v>42</v>
      </c>
    </row>
    <row r="737" spans="1:10" x14ac:dyDescent="0.25">
      <c r="A737" t="s">
        <v>396</v>
      </c>
      <c r="C737" s="286">
        <v>42348.70045138889</v>
      </c>
      <c r="D737" t="s">
        <v>382</v>
      </c>
      <c r="E737">
        <v>0</v>
      </c>
      <c r="F737" s="287"/>
      <c r="G737" s="287"/>
      <c r="H737" s="287"/>
      <c r="I737" t="s">
        <v>382</v>
      </c>
      <c r="J737" t="s">
        <v>42</v>
      </c>
    </row>
    <row r="738" spans="1:10" x14ac:dyDescent="0.25">
      <c r="A738" t="s">
        <v>390</v>
      </c>
      <c r="C738" s="286">
        <v>42348.783530092594</v>
      </c>
      <c r="D738" t="s">
        <v>382</v>
      </c>
      <c r="E738">
        <v>0</v>
      </c>
      <c r="F738" s="287"/>
      <c r="G738" s="287"/>
      <c r="H738" s="287"/>
      <c r="I738" t="s">
        <v>382</v>
      </c>
      <c r="J738" t="s">
        <v>42</v>
      </c>
    </row>
    <row r="739" spans="1:10" x14ac:dyDescent="0.25">
      <c r="A739" t="s">
        <v>390</v>
      </c>
      <c r="C739" s="286">
        <v>42348.796319444446</v>
      </c>
      <c r="D739" t="s">
        <v>382</v>
      </c>
      <c r="E739">
        <v>0</v>
      </c>
      <c r="F739" s="287"/>
      <c r="G739" s="287"/>
      <c r="H739" s="287"/>
      <c r="I739" t="s">
        <v>382</v>
      </c>
      <c r="J739" t="s">
        <v>42</v>
      </c>
    </row>
    <row r="740" spans="1:10" x14ac:dyDescent="0.25">
      <c r="A740" t="s">
        <v>390</v>
      </c>
      <c r="C740" s="286">
        <v>42349.438310185185</v>
      </c>
      <c r="D740" t="s">
        <v>382</v>
      </c>
      <c r="E740">
        <v>0</v>
      </c>
      <c r="F740" s="287"/>
      <c r="G740" s="287"/>
      <c r="H740" s="287"/>
      <c r="I740" t="s">
        <v>382</v>
      </c>
      <c r="J740" t="s">
        <v>42</v>
      </c>
    </row>
    <row r="741" spans="1:10" x14ac:dyDescent="0.25">
      <c r="A741" t="s">
        <v>390</v>
      </c>
      <c r="C741" s="286">
        <v>42349.701168981483</v>
      </c>
      <c r="D741" t="s">
        <v>382</v>
      </c>
      <c r="E741">
        <v>0</v>
      </c>
      <c r="F741" s="287"/>
      <c r="G741" s="287"/>
      <c r="H741" s="287"/>
      <c r="I741" t="s">
        <v>382</v>
      </c>
      <c r="J741" t="s">
        <v>42</v>
      </c>
    </row>
    <row r="742" spans="1:10" x14ac:dyDescent="0.25">
      <c r="A742" t="s">
        <v>396</v>
      </c>
      <c r="C742" s="286">
        <v>42349.738900462966</v>
      </c>
      <c r="D742" t="s">
        <v>382</v>
      </c>
      <c r="E742">
        <v>0</v>
      </c>
      <c r="F742" s="287"/>
      <c r="G742" s="287"/>
      <c r="H742" s="287"/>
      <c r="I742" t="s">
        <v>382</v>
      </c>
      <c r="J742" t="s">
        <v>42</v>
      </c>
    </row>
    <row r="743" spans="1:10" x14ac:dyDescent="0.25">
      <c r="A743" t="s">
        <v>390</v>
      </c>
      <c r="C743" s="286">
        <v>42349.77103009259</v>
      </c>
      <c r="D743" t="s">
        <v>382</v>
      </c>
      <c r="E743">
        <v>0</v>
      </c>
      <c r="F743" s="287"/>
      <c r="G743" s="287"/>
      <c r="H743" s="287"/>
      <c r="I743" t="s">
        <v>382</v>
      </c>
      <c r="J743" t="s">
        <v>42</v>
      </c>
    </row>
    <row r="744" spans="1:10" x14ac:dyDescent="0.25">
      <c r="A744" t="s">
        <v>390</v>
      </c>
      <c r="C744" s="286">
        <v>42349.797395833331</v>
      </c>
      <c r="D744" t="s">
        <v>382</v>
      </c>
      <c r="E744">
        <v>0</v>
      </c>
      <c r="F744" s="287"/>
      <c r="G744" s="287"/>
      <c r="H744" s="287"/>
      <c r="I744" t="s">
        <v>382</v>
      </c>
      <c r="J744" t="s">
        <v>42</v>
      </c>
    </row>
    <row r="745" spans="1:10" x14ac:dyDescent="0.25">
      <c r="A745" t="s">
        <v>406</v>
      </c>
      <c r="C745" s="286">
        <v>42350.128935185188</v>
      </c>
      <c r="D745" t="s">
        <v>382</v>
      </c>
      <c r="E745">
        <v>0</v>
      </c>
      <c r="F745" s="287"/>
      <c r="G745" s="287"/>
      <c r="H745" s="287"/>
      <c r="I745" t="s">
        <v>382</v>
      </c>
      <c r="J745" t="s">
        <v>42</v>
      </c>
    </row>
    <row r="746" spans="1:10" x14ac:dyDescent="0.25">
      <c r="A746" t="s">
        <v>396</v>
      </c>
      <c r="C746" s="286">
        <v>42350.709814814814</v>
      </c>
      <c r="D746" t="s">
        <v>382</v>
      </c>
      <c r="E746">
        <v>0</v>
      </c>
      <c r="F746" s="287"/>
      <c r="G746" s="287"/>
      <c r="H746" s="287"/>
      <c r="I746" t="s">
        <v>382</v>
      </c>
      <c r="J746" t="s">
        <v>42</v>
      </c>
    </row>
    <row r="747" spans="1:10" x14ac:dyDescent="0.25">
      <c r="A747" t="s">
        <v>390</v>
      </c>
      <c r="C747" s="286">
        <v>42350.710393518515</v>
      </c>
      <c r="D747" t="s">
        <v>382</v>
      </c>
      <c r="E747">
        <v>0</v>
      </c>
      <c r="F747" s="287"/>
      <c r="G747" s="287"/>
      <c r="H747" s="287"/>
      <c r="I747" t="s">
        <v>382</v>
      </c>
      <c r="J747" t="s">
        <v>42</v>
      </c>
    </row>
    <row r="748" spans="1:10" x14ac:dyDescent="0.25">
      <c r="A748" t="s">
        <v>390</v>
      </c>
      <c r="C748" s="286">
        <v>42351.665775462963</v>
      </c>
      <c r="D748" t="s">
        <v>382</v>
      </c>
      <c r="E748">
        <v>0</v>
      </c>
      <c r="F748" s="287"/>
      <c r="G748" s="287"/>
      <c r="H748" s="287"/>
      <c r="I748" t="s">
        <v>382</v>
      </c>
      <c r="J748" t="s">
        <v>42</v>
      </c>
    </row>
    <row r="749" spans="1:10" x14ac:dyDescent="0.25">
      <c r="A749" t="s">
        <v>396</v>
      </c>
      <c r="C749" s="286">
        <v>42351.777881944443</v>
      </c>
      <c r="D749" t="s">
        <v>382</v>
      </c>
      <c r="E749">
        <v>0</v>
      </c>
      <c r="F749" s="287"/>
      <c r="G749" s="287"/>
      <c r="H749" s="287"/>
      <c r="I749" t="s">
        <v>382</v>
      </c>
      <c r="J749" t="s">
        <v>42</v>
      </c>
    </row>
    <row r="750" spans="1:10" x14ac:dyDescent="0.25">
      <c r="A750" t="s">
        <v>390</v>
      </c>
      <c r="C750" s="286">
        <v>42351.796805555554</v>
      </c>
      <c r="D750" t="s">
        <v>382</v>
      </c>
      <c r="E750">
        <v>0</v>
      </c>
      <c r="F750" s="287"/>
      <c r="G750" s="287"/>
      <c r="H750" s="287"/>
      <c r="I750" t="s">
        <v>382</v>
      </c>
      <c r="J750" t="s">
        <v>42</v>
      </c>
    </row>
    <row r="751" spans="1:10" x14ac:dyDescent="0.25">
      <c r="A751" t="s">
        <v>390</v>
      </c>
      <c r="C751" s="286">
        <v>42352.685381944444</v>
      </c>
      <c r="D751" t="s">
        <v>382</v>
      </c>
      <c r="E751">
        <v>0</v>
      </c>
      <c r="F751" s="287"/>
      <c r="G751" s="287"/>
      <c r="H751" s="287"/>
      <c r="I751" t="s">
        <v>382</v>
      </c>
      <c r="J751" t="s">
        <v>42</v>
      </c>
    </row>
    <row r="752" spans="1:10" x14ac:dyDescent="0.25">
      <c r="A752" t="s">
        <v>390</v>
      </c>
      <c r="C752" s="286">
        <v>42352.697384259256</v>
      </c>
      <c r="D752" t="s">
        <v>382</v>
      </c>
      <c r="E752">
        <v>0</v>
      </c>
      <c r="F752" s="287"/>
      <c r="G752" s="287"/>
      <c r="H752" s="287"/>
      <c r="I752" t="s">
        <v>382</v>
      </c>
      <c r="J752" t="s">
        <v>42</v>
      </c>
    </row>
    <row r="753" spans="1:10" x14ac:dyDescent="0.25">
      <c r="A753" t="s">
        <v>390</v>
      </c>
      <c r="C753" s="286">
        <v>42352.717905092592</v>
      </c>
      <c r="D753" t="s">
        <v>382</v>
      </c>
      <c r="E753">
        <v>0</v>
      </c>
      <c r="F753" s="287"/>
      <c r="G753" s="287"/>
      <c r="H753" s="287"/>
      <c r="I753" t="s">
        <v>382</v>
      </c>
      <c r="J753" t="s">
        <v>42</v>
      </c>
    </row>
    <row r="754" spans="1:10" x14ac:dyDescent="0.25">
      <c r="A754" t="s">
        <v>390</v>
      </c>
      <c r="C754" s="286">
        <v>42352.720578703702</v>
      </c>
      <c r="D754" t="s">
        <v>382</v>
      </c>
      <c r="E754">
        <v>0</v>
      </c>
      <c r="F754" s="287"/>
      <c r="G754" s="287"/>
      <c r="H754" s="287"/>
      <c r="I754" t="s">
        <v>382</v>
      </c>
      <c r="J754" t="s">
        <v>42</v>
      </c>
    </row>
    <row r="755" spans="1:10" x14ac:dyDescent="0.25">
      <c r="A755" t="s">
        <v>390</v>
      </c>
      <c r="C755" s="286">
        <v>42352.728796296295</v>
      </c>
      <c r="D755" t="s">
        <v>382</v>
      </c>
      <c r="E755">
        <v>0</v>
      </c>
      <c r="F755" s="287"/>
      <c r="G755" s="287"/>
      <c r="H755" s="287"/>
      <c r="I755" t="s">
        <v>382</v>
      </c>
      <c r="J755" t="s">
        <v>42</v>
      </c>
    </row>
    <row r="756" spans="1:10" x14ac:dyDescent="0.25">
      <c r="A756" t="s">
        <v>396</v>
      </c>
      <c r="C756" s="286">
        <v>42352.754965277774</v>
      </c>
      <c r="D756" t="s">
        <v>382</v>
      </c>
      <c r="E756">
        <v>0</v>
      </c>
      <c r="F756" s="287"/>
      <c r="G756" s="287"/>
      <c r="H756" s="287"/>
      <c r="I756" t="s">
        <v>382</v>
      </c>
      <c r="J756" t="s">
        <v>42</v>
      </c>
    </row>
    <row r="757" spans="1:10" x14ac:dyDescent="0.25">
      <c r="A757" t="s">
        <v>390</v>
      </c>
      <c r="C757" s="286">
        <v>42352.812557870369</v>
      </c>
      <c r="D757" t="s">
        <v>382</v>
      </c>
      <c r="E757">
        <v>0</v>
      </c>
      <c r="F757" s="287"/>
      <c r="G757" s="287"/>
      <c r="H757" s="287"/>
      <c r="I757" t="s">
        <v>382</v>
      </c>
      <c r="J757" t="s">
        <v>42</v>
      </c>
    </row>
    <row r="758" spans="1:10" x14ac:dyDescent="0.25">
      <c r="A758" t="s">
        <v>396</v>
      </c>
      <c r="C758" s="286">
        <v>42353.717430555553</v>
      </c>
      <c r="D758" t="s">
        <v>382</v>
      </c>
      <c r="E758">
        <v>0</v>
      </c>
      <c r="F758" s="287"/>
      <c r="G758" s="287"/>
      <c r="H758" s="287"/>
      <c r="I758" t="s">
        <v>382</v>
      </c>
      <c r="J758" t="s">
        <v>42</v>
      </c>
    </row>
    <row r="759" spans="1:10" x14ac:dyDescent="0.25">
      <c r="A759" t="s">
        <v>390</v>
      </c>
      <c r="C759" s="286">
        <v>42353.795416666668</v>
      </c>
      <c r="D759" t="s">
        <v>382</v>
      </c>
      <c r="E759">
        <v>0</v>
      </c>
      <c r="F759" s="287"/>
      <c r="G759" s="287"/>
      <c r="H759" s="287"/>
      <c r="I759" t="s">
        <v>382</v>
      </c>
      <c r="J759" t="s">
        <v>42</v>
      </c>
    </row>
    <row r="760" spans="1:10" x14ac:dyDescent="0.25">
      <c r="A760" t="s">
        <v>390</v>
      </c>
      <c r="C760" s="286">
        <v>42354.714999999997</v>
      </c>
      <c r="D760" t="s">
        <v>382</v>
      </c>
      <c r="E760">
        <v>0</v>
      </c>
      <c r="F760" s="287"/>
      <c r="G760" s="287"/>
      <c r="H760" s="287"/>
      <c r="I760" t="s">
        <v>382</v>
      </c>
      <c r="J760" t="s">
        <v>42</v>
      </c>
    </row>
    <row r="761" spans="1:10" x14ac:dyDescent="0.25">
      <c r="A761" t="s">
        <v>390</v>
      </c>
      <c r="C761" s="286">
        <v>42354.767627314817</v>
      </c>
      <c r="D761" t="s">
        <v>382</v>
      </c>
      <c r="E761">
        <v>0</v>
      </c>
      <c r="F761" s="287"/>
      <c r="G761" s="287"/>
      <c r="H761" s="287"/>
      <c r="I761" t="s">
        <v>382</v>
      </c>
      <c r="J761" t="s">
        <v>42</v>
      </c>
    </row>
    <row r="762" spans="1:10" x14ac:dyDescent="0.25">
      <c r="A762" t="s">
        <v>396</v>
      </c>
      <c r="C762" s="286">
        <v>42354.76902777778</v>
      </c>
      <c r="D762" t="s">
        <v>382</v>
      </c>
      <c r="E762">
        <v>0</v>
      </c>
      <c r="F762" s="287"/>
      <c r="G762" s="287"/>
      <c r="H762" s="287"/>
      <c r="I762" t="s">
        <v>382</v>
      </c>
      <c r="J762" t="s">
        <v>42</v>
      </c>
    </row>
    <row r="763" spans="1:10" x14ac:dyDescent="0.25">
      <c r="A763" t="s">
        <v>390</v>
      </c>
      <c r="C763" s="286">
        <v>42354.805486111109</v>
      </c>
      <c r="D763" t="s">
        <v>382</v>
      </c>
      <c r="E763">
        <v>0</v>
      </c>
      <c r="F763" s="287"/>
      <c r="G763" s="287"/>
      <c r="H763" s="287"/>
      <c r="I763" t="s">
        <v>382</v>
      </c>
      <c r="J763" t="s">
        <v>42</v>
      </c>
    </row>
    <row r="764" spans="1:10" x14ac:dyDescent="0.25">
      <c r="A764" t="s">
        <v>390</v>
      </c>
      <c r="C764" s="286">
        <v>42354.85460648148</v>
      </c>
      <c r="D764" t="s">
        <v>382</v>
      </c>
      <c r="E764">
        <v>0</v>
      </c>
      <c r="F764" s="287"/>
      <c r="G764" s="287"/>
      <c r="H764" s="287"/>
      <c r="I764" t="s">
        <v>382</v>
      </c>
      <c r="J764" t="s">
        <v>42</v>
      </c>
    </row>
    <row r="765" spans="1:10" x14ac:dyDescent="0.25">
      <c r="A765" t="s">
        <v>390</v>
      </c>
      <c r="C765" s="286">
        <v>42355.092245370368</v>
      </c>
      <c r="D765" t="s">
        <v>382</v>
      </c>
      <c r="E765">
        <v>0</v>
      </c>
      <c r="F765" s="287"/>
      <c r="G765" s="287"/>
      <c r="H765" s="287"/>
      <c r="I765" t="s">
        <v>382</v>
      </c>
      <c r="J765" t="s">
        <v>42</v>
      </c>
    </row>
    <row r="766" spans="1:10" x14ac:dyDescent="0.25">
      <c r="A766" t="s">
        <v>390</v>
      </c>
      <c r="C766" s="286">
        <v>42355.721388888887</v>
      </c>
      <c r="D766" t="s">
        <v>382</v>
      </c>
      <c r="E766">
        <v>0</v>
      </c>
      <c r="F766" s="287"/>
      <c r="G766" s="287"/>
      <c r="H766" s="287"/>
      <c r="I766" t="s">
        <v>382</v>
      </c>
      <c r="J766" t="s">
        <v>42</v>
      </c>
    </row>
    <row r="767" spans="1:10" x14ac:dyDescent="0.25">
      <c r="A767" t="s">
        <v>396</v>
      </c>
      <c r="C767" s="286">
        <v>42355.753819444442</v>
      </c>
      <c r="D767" t="s">
        <v>382</v>
      </c>
      <c r="E767">
        <v>0</v>
      </c>
      <c r="F767" s="287"/>
      <c r="G767" s="287"/>
      <c r="H767" s="287"/>
      <c r="I767" t="s">
        <v>382</v>
      </c>
      <c r="J767" t="s">
        <v>42</v>
      </c>
    </row>
    <row r="768" spans="1:10" x14ac:dyDescent="0.25">
      <c r="A768" t="s">
        <v>390</v>
      </c>
      <c r="C768" s="286">
        <v>42355.817013888889</v>
      </c>
      <c r="D768" t="s">
        <v>382</v>
      </c>
      <c r="E768">
        <v>0</v>
      </c>
      <c r="F768" s="287"/>
      <c r="G768" s="287"/>
      <c r="H768" s="287"/>
      <c r="I768" t="s">
        <v>382</v>
      </c>
      <c r="J768" t="s">
        <v>42</v>
      </c>
    </row>
    <row r="769" spans="1:10" x14ac:dyDescent="0.25">
      <c r="A769" t="s">
        <v>394</v>
      </c>
      <c r="C769" s="286">
        <v>42356.195335648146</v>
      </c>
      <c r="D769" t="s">
        <v>382</v>
      </c>
      <c r="E769">
        <v>0</v>
      </c>
      <c r="F769" s="287"/>
      <c r="G769" s="287"/>
      <c r="H769" s="287"/>
      <c r="I769" t="s">
        <v>382</v>
      </c>
      <c r="J769" t="s">
        <v>42</v>
      </c>
    </row>
    <row r="770" spans="1:10" x14ac:dyDescent="0.25">
      <c r="A770" t="s">
        <v>404</v>
      </c>
      <c r="C770" s="286">
        <v>42356.245451388888</v>
      </c>
      <c r="D770" t="s">
        <v>382</v>
      </c>
      <c r="E770">
        <v>0</v>
      </c>
      <c r="F770" s="287"/>
      <c r="G770" s="287"/>
      <c r="H770" s="287"/>
      <c r="I770" t="s">
        <v>382</v>
      </c>
      <c r="J770" t="s">
        <v>42</v>
      </c>
    </row>
    <row r="771" spans="1:10" x14ac:dyDescent="0.25">
      <c r="A771" t="s">
        <v>396</v>
      </c>
      <c r="C771" s="286">
        <v>42356.746157407404</v>
      </c>
      <c r="D771" t="s">
        <v>382</v>
      </c>
      <c r="E771">
        <v>0</v>
      </c>
      <c r="F771" s="287"/>
      <c r="G771" s="287"/>
      <c r="H771" s="287"/>
      <c r="I771" t="s">
        <v>382</v>
      </c>
      <c r="J771" t="s">
        <v>42</v>
      </c>
    </row>
    <row r="772" spans="1:10" x14ac:dyDescent="0.25">
      <c r="A772" t="s">
        <v>390</v>
      </c>
      <c r="C772" s="286">
        <v>42356.777268518519</v>
      </c>
      <c r="D772" t="s">
        <v>382</v>
      </c>
      <c r="E772">
        <v>0</v>
      </c>
      <c r="F772" s="287"/>
      <c r="G772" s="287"/>
      <c r="H772" s="287"/>
      <c r="I772" t="s">
        <v>382</v>
      </c>
      <c r="J772" t="s">
        <v>42</v>
      </c>
    </row>
    <row r="773" spans="1:10" x14ac:dyDescent="0.25">
      <c r="A773" t="s">
        <v>396</v>
      </c>
      <c r="C773" s="286">
        <v>42357.741180555553</v>
      </c>
      <c r="D773" t="s">
        <v>382</v>
      </c>
      <c r="E773">
        <v>0</v>
      </c>
      <c r="F773" s="287"/>
      <c r="G773" s="287"/>
      <c r="H773" s="287"/>
      <c r="I773" t="s">
        <v>382</v>
      </c>
      <c r="J773" t="s">
        <v>42</v>
      </c>
    </row>
    <row r="774" spans="1:10" x14ac:dyDescent="0.25">
      <c r="A774" t="s">
        <v>390</v>
      </c>
      <c r="C774" s="286">
        <v>42357.771226851852</v>
      </c>
      <c r="D774" t="s">
        <v>382</v>
      </c>
      <c r="E774">
        <v>0</v>
      </c>
      <c r="F774" s="287"/>
      <c r="G774" s="287"/>
      <c r="H774" s="287"/>
      <c r="I774" t="s">
        <v>382</v>
      </c>
      <c r="J774" t="s">
        <v>42</v>
      </c>
    </row>
    <row r="775" spans="1:10" x14ac:dyDescent="0.25">
      <c r="A775" t="s">
        <v>406</v>
      </c>
      <c r="C775" s="286">
        <v>42357.805069444446</v>
      </c>
      <c r="D775" t="s">
        <v>382</v>
      </c>
      <c r="E775">
        <v>0</v>
      </c>
      <c r="F775" s="287"/>
      <c r="G775" s="287"/>
      <c r="H775" s="287"/>
      <c r="I775" t="s">
        <v>382</v>
      </c>
      <c r="J775" t="s">
        <v>42</v>
      </c>
    </row>
    <row r="776" spans="1:10" x14ac:dyDescent="0.25">
      <c r="A776" t="s">
        <v>390</v>
      </c>
      <c r="C776" s="286">
        <v>42357.814780092594</v>
      </c>
      <c r="D776" t="s">
        <v>382</v>
      </c>
      <c r="E776">
        <v>0</v>
      </c>
      <c r="F776" s="287"/>
      <c r="G776" s="287"/>
      <c r="H776" s="287"/>
      <c r="I776" t="s">
        <v>382</v>
      </c>
      <c r="J776" t="s">
        <v>42</v>
      </c>
    </row>
    <row r="777" spans="1:10" x14ac:dyDescent="0.25">
      <c r="A777" t="s">
        <v>413</v>
      </c>
      <c r="C777" s="286">
        <v>42358.570555555554</v>
      </c>
      <c r="D777" t="s">
        <v>382</v>
      </c>
      <c r="E777">
        <v>0</v>
      </c>
      <c r="F777" s="287"/>
      <c r="G777" s="287"/>
      <c r="H777" s="287"/>
      <c r="I777" t="s">
        <v>382</v>
      </c>
      <c r="J777" t="s">
        <v>42</v>
      </c>
    </row>
    <row r="778" spans="1:10" x14ac:dyDescent="0.25">
      <c r="A778" t="s">
        <v>396</v>
      </c>
      <c r="C778" s="286">
        <v>42358.749074074076</v>
      </c>
      <c r="D778" t="s">
        <v>382</v>
      </c>
      <c r="E778">
        <v>0</v>
      </c>
      <c r="F778" s="287"/>
      <c r="G778" s="287"/>
      <c r="H778" s="287"/>
      <c r="I778" t="s">
        <v>382</v>
      </c>
      <c r="J778" t="s">
        <v>42</v>
      </c>
    </row>
    <row r="779" spans="1:10" x14ac:dyDescent="0.25">
      <c r="A779" t="s">
        <v>390</v>
      </c>
      <c r="C779" s="286">
        <v>42358.821122685185</v>
      </c>
      <c r="D779" t="s">
        <v>382</v>
      </c>
      <c r="E779">
        <v>0</v>
      </c>
      <c r="F779" s="287"/>
      <c r="G779" s="287"/>
      <c r="H779" s="287"/>
      <c r="I779" t="s">
        <v>382</v>
      </c>
      <c r="J779" t="s">
        <v>42</v>
      </c>
    </row>
    <row r="780" spans="1:10" x14ac:dyDescent="0.25">
      <c r="A780" t="s">
        <v>396</v>
      </c>
      <c r="C780" s="286">
        <v>42359.768842592595</v>
      </c>
      <c r="D780" t="s">
        <v>382</v>
      </c>
      <c r="E780">
        <v>0</v>
      </c>
      <c r="F780" s="287"/>
      <c r="G780" s="287"/>
      <c r="H780" s="287"/>
      <c r="I780" t="s">
        <v>382</v>
      </c>
      <c r="J780" t="s">
        <v>42</v>
      </c>
    </row>
    <row r="781" spans="1:10" x14ac:dyDescent="0.25">
      <c r="A781" t="s">
        <v>390</v>
      </c>
      <c r="C781" s="286">
        <v>42359.781956018516</v>
      </c>
      <c r="D781" t="s">
        <v>382</v>
      </c>
      <c r="E781">
        <v>0</v>
      </c>
      <c r="F781" s="287"/>
      <c r="G781" s="287"/>
      <c r="H781" s="287"/>
      <c r="I781" t="s">
        <v>382</v>
      </c>
      <c r="J781" t="s">
        <v>42</v>
      </c>
    </row>
    <row r="782" spans="1:10" x14ac:dyDescent="0.25">
      <c r="A782" t="s">
        <v>396</v>
      </c>
      <c r="C782" s="286">
        <v>42360.696273148147</v>
      </c>
      <c r="D782" t="s">
        <v>382</v>
      </c>
      <c r="E782">
        <v>0</v>
      </c>
      <c r="F782" s="287"/>
      <c r="G782" s="287"/>
      <c r="H782" s="287"/>
      <c r="I782" t="s">
        <v>382</v>
      </c>
      <c r="J782" t="s">
        <v>42</v>
      </c>
    </row>
    <row r="783" spans="1:10" x14ac:dyDescent="0.25">
      <c r="A783" t="s">
        <v>390</v>
      </c>
      <c r="C783" s="286">
        <v>42360.759143518517</v>
      </c>
      <c r="D783" t="s">
        <v>382</v>
      </c>
      <c r="E783">
        <v>0</v>
      </c>
      <c r="F783" s="287"/>
      <c r="G783" s="287"/>
      <c r="H783" s="287"/>
      <c r="I783" t="s">
        <v>382</v>
      </c>
      <c r="J783" t="s">
        <v>42</v>
      </c>
    </row>
    <row r="784" spans="1:10" x14ac:dyDescent="0.25">
      <c r="A784" t="s">
        <v>390</v>
      </c>
      <c r="C784" s="286">
        <v>42361.739699074074</v>
      </c>
      <c r="D784" t="s">
        <v>382</v>
      </c>
      <c r="E784">
        <v>0</v>
      </c>
      <c r="F784" s="287"/>
      <c r="G784" s="287"/>
      <c r="H784" s="287"/>
      <c r="I784" t="s">
        <v>382</v>
      </c>
      <c r="J784" t="s">
        <v>42</v>
      </c>
    </row>
    <row r="785" spans="1:10" x14ac:dyDescent="0.25">
      <c r="A785" t="s">
        <v>390</v>
      </c>
      <c r="C785" s="286">
        <v>42361.750416666669</v>
      </c>
      <c r="D785" t="s">
        <v>382</v>
      </c>
      <c r="E785">
        <v>0</v>
      </c>
      <c r="F785" s="287"/>
      <c r="G785" s="287"/>
      <c r="H785" s="287"/>
      <c r="I785" t="s">
        <v>382</v>
      </c>
      <c r="J785" t="s">
        <v>42</v>
      </c>
    </row>
    <row r="786" spans="1:10" x14ac:dyDescent="0.25">
      <c r="A786" t="s">
        <v>396</v>
      </c>
      <c r="C786" s="286">
        <v>42361.751956018517</v>
      </c>
      <c r="D786" t="s">
        <v>382</v>
      </c>
      <c r="E786">
        <v>0</v>
      </c>
      <c r="F786" s="287"/>
      <c r="G786" s="287"/>
      <c r="H786" s="287"/>
      <c r="I786" t="s">
        <v>382</v>
      </c>
      <c r="J786" t="s">
        <v>42</v>
      </c>
    </row>
    <row r="787" spans="1:10" x14ac:dyDescent="0.25">
      <c r="A787" t="s">
        <v>390</v>
      </c>
      <c r="C787" s="286">
        <v>42361.82236111111</v>
      </c>
      <c r="D787" t="s">
        <v>382</v>
      </c>
      <c r="E787">
        <v>0</v>
      </c>
      <c r="F787" s="287"/>
      <c r="G787" s="287"/>
      <c r="H787" s="287"/>
      <c r="I787" t="s">
        <v>382</v>
      </c>
      <c r="J787" t="s">
        <v>42</v>
      </c>
    </row>
    <row r="788" spans="1:10" x14ac:dyDescent="0.25">
      <c r="A788" t="s">
        <v>390</v>
      </c>
      <c r="C788" s="286">
        <v>42361.832708333335</v>
      </c>
      <c r="D788" t="s">
        <v>382</v>
      </c>
      <c r="E788">
        <v>0</v>
      </c>
      <c r="F788" s="287"/>
      <c r="G788" s="287"/>
      <c r="H788" s="287"/>
      <c r="I788" t="s">
        <v>382</v>
      </c>
      <c r="J788" t="s">
        <v>42</v>
      </c>
    </row>
    <row r="789" spans="1:10" x14ac:dyDescent="0.25">
      <c r="A789" t="s">
        <v>390</v>
      </c>
      <c r="C789" s="286">
        <v>42361.845312500001</v>
      </c>
      <c r="D789" t="s">
        <v>382</v>
      </c>
      <c r="E789">
        <v>0</v>
      </c>
      <c r="F789" s="287"/>
      <c r="G789" s="287"/>
      <c r="H789" s="287"/>
      <c r="I789" t="s">
        <v>382</v>
      </c>
      <c r="J789" t="s">
        <v>42</v>
      </c>
    </row>
    <row r="790" spans="1:10" x14ac:dyDescent="0.25">
      <c r="A790" t="s">
        <v>404</v>
      </c>
      <c r="C790" s="286">
        <v>42361.986087962963</v>
      </c>
      <c r="D790" t="s">
        <v>382</v>
      </c>
      <c r="E790">
        <v>0</v>
      </c>
      <c r="F790" s="287"/>
      <c r="G790" s="287"/>
      <c r="H790" s="287"/>
      <c r="I790" t="s">
        <v>382</v>
      </c>
      <c r="J790" t="s">
        <v>42</v>
      </c>
    </row>
    <row r="791" spans="1:10" x14ac:dyDescent="0.25">
      <c r="A791" t="s">
        <v>406</v>
      </c>
      <c r="C791" s="286">
        <v>42362.630844907406</v>
      </c>
      <c r="D791" t="s">
        <v>382</v>
      </c>
      <c r="E791">
        <v>0</v>
      </c>
      <c r="F791" s="287"/>
      <c r="G791" s="287"/>
      <c r="H791" s="287"/>
      <c r="I791" t="s">
        <v>382</v>
      </c>
      <c r="J791" t="s">
        <v>42</v>
      </c>
    </row>
    <row r="792" spans="1:10" x14ac:dyDescent="0.25">
      <c r="A792" t="s">
        <v>390</v>
      </c>
      <c r="C792" s="286">
        <v>42362.72420138889</v>
      </c>
      <c r="D792" t="s">
        <v>382</v>
      </c>
      <c r="E792">
        <v>0</v>
      </c>
      <c r="F792" s="287"/>
      <c r="G792" s="287"/>
      <c r="H792" s="287"/>
      <c r="I792" t="s">
        <v>382</v>
      </c>
      <c r="J792" t="s">
        <v>42</v>
      </c>
    </row>
    <row r="793" spans="1:10" x14ac:dyDescent="0.25">
      <c r="A793" t="s">
        <v>396</v>
      </c>
      <c r="C793" s="286">
        <v>42362.788888888892</v>
      </c>
      <c r="D793" t="s">
        <v>382</v>
      </c>
      <c r="E793">
        <v>0</v>
      </c>
      <c r="F793" s="287"/>
      <c r="G793" s="287"/>
      <c r="H793" s="287"/>
      <c r="I793" t="s">
        <v>382</v>
      </c>
      <c r="J793" t="s">
        <v>42</v>
      </c>
    </row>
    <row r="794" spans="1:10" x14ac:dyDescent="0.25">
      <c r="A794" t="s">
        <v>390</v>
      </c>
      <c r="C794" s="286">
        <v>42363.692071759258</v>
      </c>
      <c r="D794" t="s">
        <v>382</v>
      </c>
      <c r="E794">
        <v>0</v>
      </c>
      <c r="F794" s="287"/>
      <c r="G794" s="287"/>
      <c r="H794" s="287"/>
      <c r="I794" t="s">
        <v>382</v>
      </c>
      <c r="J794" t="s">
        <v>42</v>
      </c>
    </row>
    <row r="795" spans="1:10" x14ac:dyDescent="0.25">
      <c r="A795" t="s">
        <v>396</v>
      </c>
      <c r="C795" s="286">
        <v>42363.764085648145</v>
      </c>
      <c r="D795" t="s">
        <v>382</v>
      </c>
      <c r="E795">
        <v>0</v>
      </c>
      <c r="F795" s="287"/>
      <c r="G795" s="287"/>
      <c r="H795" s="287"/>
      <c r="I795" t="s">
        <v>382</v>
      </c>
      <c r="J795" t="s">
        <v>42</v>
      </c>
    </row>
    <row r="796" spans="1:10" x14ac:dyDescent="0.25">
      <c r="A796" t="s">
        <v>396</v>
      </c>
      <c r="C796" s="286">
        <v>42364.760972222219</v>
      </c>
      <c r="D796" t="s">
        <v>382</v>
      </c>
      <c r="E796">
        <v>0</v>
      </c>
      <c r="F796" s="287"/>
      <c r="G796" s="287"/>
      <c r="H796" s="287"/>
      <c r="I796" t="s">
        <v>382</v>
      </c>
      <c r="J796" t="s">
        <v>42</v>
      </c>
    </row>
    <row r="797" spans="1:10" x14ac:dyDescent="0.25">
      <c r="A797" t="s">
        <v>390</v>
      </c>
      <c r="C797" s="286">
        <v>42364.771655092591</v>
      </c>
      <c r="D797" t="s">
        <v>382</v>
      </c>
      <c r="E797">
        <v>0</v>
      </c>
      <c r="F797" s="287"/>
      <c r="G797" s="287"/>
      <c r="H797" s="287"/>
      <c r="I797" t="s">
        <v>382</v>
      </c>
      <c r="J797" t="s">
        <v>42</v>
      </c>
    </row>
    <row r="798" spans="1:10" x14ac:dyDescent="0.25">
      <c r="A798" t="s">
        <v>390</v>
      </c>
      <c r="C798" s="286">
        <v>42365.717523148145</v>
      </c>
      <c r="D798" t="s">
        <v>382</v>
      </c>
      <c r="E798">
        <v>0</v>
      </c>
      <c r="F798" s="287"/>
      <c r="G798" s="287"/>
      <c r="H798" s="287"/>
      <c r="I798" t="s">
        <v>382</v>
      </c>
      <c r="J798" t="s">
        <v>42</v>
      </c>
    </row>
    <row r="799" spans="1:10" x14ac:dyDescent="0.25">
      <c r="A799" t="s">
        <v>390</v>
      </c>
      <c r="C799" s="286">
        <v>42365.771296296298</v>
      </c>
      <c r="D799" t="s">
        <v>382</v>
      </c>
      <c r="E799">
        <v>0</v>
      </c>
      <c r="F799" s="287"/>
      <c r="G799" s="287"/>
      <c r="H799" s="287"/>
      <c r="I799" t="s">
        <v>382</v>
      </c>
      <c r="J799" t="s">
        <v>42</v>
      </c>
    </row>
    <row r="800" spans="1:10" x14ac:dyDescent="0.25">
      <c r="A800" t="s">
        <v>396</v>
      </c>
      <c r="C800" s="286">
        <v>42365.780752314815</v>
      </c>
      <c r="D800" t="s">
        <v>382</v>
      </c>
      <c r="E800">
        <v>0</v>
      </c>
      <c r="F800" s="287"/>
      <c r="G800" s="287"/>
      <c r="H800" s="287"/>
      <c r="I800" t="s">
        <v>382</v>
      </c>
      <c r="J800" t="s">
        <v>42</v>
      </c>
    </row>
    <row r="801" spans="1:10" x14ac:dyDescent="0.25">
      <c r="A801" t="s">
        <v>390</v>
      </c>
      <c r="C801" s="286">
        <v>42365.819826388892</v>
      </c>
      <c r="D801" t="s">
        <v>382</v>
      </c>
      <c r="E801">
        <v>0</v>
      </c>
      <c r="F801" s="287"/>
      <c r="G801" s="287"/>
      <c r="H801" s="287"/>
      <c r="I801" t="s">
        <v>382</v>
      </c>
      <c r="J801" t="s">
        <v>42</v>
      </c>
    </row>
    <row r="802" spans="1:10" x14ac:dyDescent="0.25">
      <c r="A802" t="s">
        <v>396</v>
      </c>
      <c r="C802" s="286">
        <v>42366.717835648145</v>
      </c>
      <c r="D802" t="s">
        <v>382</v>
      </c>
      <c r="E802">
        <v>0</v>
      </c>
      <c r="F802" s="287"/>
      <c r="G802" s="287"/>
      <c r="H802" s="287"/>
      <c r="I802" t="s">
        <v>382</v>
      </c>
      <c r="J802" t="s">
        <v>42</v>
      </c>
    </row>
    <row r="803" spans="1:10" x14ac:dyDescent="0.25">
      <c r="A803" t="s">
        <v>390</v>
      </c>
      <c r="C803" s="286">
        <v>42366.771215277775</v>
      </c>
      <c r="D803" t="s">
        <v>382</v>
      </c>
      <c r="E803">
        <v>0</v>
      </c>
      <c r="F803" s="287"/>
      <c r="G803" s="287"/>
      <c r="H803" s="287"/>
      <c r="I803" t="s">
        <v>382</v>
      </c>
      <c r="J803" t="s">
        <v>42</v>
      </c>
    </row>
    <row r="804" spans="1:10" x14ac:dyDescent="0.25">
      <c r="A804" t="s">
        <v>390</v>
      </c>
      <c r="C804" s="286">
        <v>42366.774537037039</v>
      </c>
      <c r="D804" t="s">
        <v>382</v>
      </c>
      <c r="E804">
        <v>0</v>
      </c>
      <c r="F804" s="287"/>
      <c r="G804" s="287"/>
      <c r="H804" s="287"/>
      <c r="I804" t="s">
        <v>382</v>
      </c>
      <c r="J804" t="s">
        <v>42</v>
      </c>
    </row>
    <row r="805" spans="1:10" x14ac:dyDescent="0.25">
      <c r="A805" t="s">
        <v>396</v>
      </c>
      <c r="C805" s="286">
        <v>42367.704016203701</v>
      </c>
      <c r="D805" t="s">
        <v>382</v>
      </c>
      <c r="E805">
        <v>0</v>
      </c>
      <c r="F805" s="287"/>
      <c r="G805" s="287"/>
      <c r="H805" s="287"/>
      <c r="I805" t="s">
        <v>382</v>
      </c>
      <c r="J805" t="s">
        <v>42</v>
      </c>
    </row>
    <row r="806" spans="1:10" x14ac:dyDescent="0.25">
      <c r="A806" t="s">
        <v>390</v>
      </c>
      <c r="C806" s="286">
        <v>42367.771157407406</v>
      </c>
      <c r="D806" t="s">
        <v>382</v>
      </c>
      <c r="E806">
        <v>0</v>
      </c>
      <c r="F806" s="287"/>
      <c r="G806" s="287"/>
      <c r="H806" s="287"/>
      <c r="I806" t="s">
        <v>382</v>
      </c>
      <c r="J806" t="s">
        <v>42</v>
      </c>
    </row>
    <row r="807" spans="1:10" x14ac:dyDescent="0.25">
      <c r="A807" t="s">
        <v>390</v>
      </c>
      <c r="C807" s="286">
        <v>42367.815474537034</v>
      </c>
      <c r="D807" t="s">
        <v>382</v>
      </c>
      <c r="E807">
        <v>0</v>
      </c>
      <c r="F807" s="287"/>
      <c r="G807" s="287"/>
      <c r="H807" s="287"/>
      <c r="I807" t="s">
        <v>382</v>
      </c>
      <c r="J807" t="s">
        <v>42</v>
      </c>
    </row>
    <row r="808" spans="1:10" x14ac:dyDescent="0.25">
      <c r="A808" t="s">
        <v>390</v>
      </c>
      <c r="C808" s="286">
        <v>42368.739062499997</v>
      </c>
      <c r="D808" t="s">
        <v>382</v>
      </c>
      <c r="E808">
        <v>0</v>
      </c>
      <c r="F808" s="287"/>
      <c r="G808" s="287"/>
      <c r="H808" s="287"/>
      <c r="I808" t="s">
        <v>382</v>
      </c>
      <c r="J808" t="s">
        <v>42</v>
      </c>
    </row>
    <row r="809" spans="1:10" x14ac:dyDescent="0.25">
      <c r="A809" t="s">
        <v>396</v>
      </c>
      <c r="C809" s="286">
        <v>42368.745335648149</v>
      </c>
      <c r="D809" t="s">
        <v>382</v>
      </c>
      <c r="E809">
        <v>0</v>
      </c>
      <c r="F809" s="287"/>
      <c r="G809" s="287"/>
      <c r="H809" s="287"/>
      <c r="I809" t="s">
        <v>382</v>
      </c>
      <c r="J809" t="s">
        <v>42</v>
      </c>
    </row>
    <row r="810" spans="1:10" x14ac:dyDescent="0.25">
      <c r="A810" t="s">
        <v>390</v>
      </c>
      <c r="C810" s="286">
        <v>42368.762523148151</v>
      </c>
      <c r="D810" t="s">
        <v>382</v>
      </c>
      <c r="E810">
        <v>0</v>
      </c>
      <c r="F810" s="287"/>
      <c r="G810" s="287"/>
      <c r="H810" s="287"/>
      <c r="I810" t="s">
        <v>382</v>
      </c>
      <c r="J810" t="s">
        <v>42</v>
      </c>
    </row>
    <row r="811" spans="1:10" x14ac:dyDescent="0.25">
      <c r="A811" t="s">
        <v>390</v>
      </c>
      <c r="C811" s="286">
        <v>42368.771481481483</v>
      </c>
      <c r="D811" t="s">
        <v>382</v>
      </c>
      <c r="E811">
        <v>0</v>
      </c>
      <c r="F811" s="287"/>
      <c r="G811" s="287"/>
      <c r="H811" s="287"/>
      <c r="I811" t="s">
        <v>382</v>
      </c>
      <c r="J811" t="s">
        <v>42</v>
      </c>
    </row>
    <row r="812" spans="1:10" x14ac:dyDescent="0.25">
      <c r="A812" t="s">
        <v>390</v>
      </c>
      <c r="C812" s="286">
        <v>42369.721365740741</v>
      </c>
      <c r="D812" t="s">
        <v>382</v>
      </c>
      <c r="E812">
        <v>0</v>
      </c>
      <c r="F812" s="287"/>
      <c r="G812" s="287"/>
      <c r="H812" s="287"/>
      <c r="I812" t="s">
        <v>382</v>
      </c>
      <c r="J812" t="s">
        <v>42</v>
      </c>
    </row>
    <row r="813" spans="1:10" x14ac:dyDescent="0.25">
      <c r="A813" t="s">
        <v>406</v>
      </c>
      <c r="C813" s="286">
        <v>42369.727013888885</v>
      </c>
      <c r="D813" t="s">
        <v>382</v>
      </c>
      <c r="E813">
        <v>0</v>
      </c>
      <c r="F813" s="287"/>
      <c r="G813" s="287"/>
      <c r="H813" s="287"/>
      <c r="I813" t="s">
        <v>382</v>
      </c>
      <c r="J813" t="s">
        <v>42</v>
      </c>
    </row>
    <row r="814" spans="1:10" x14ac:dyDescent="0.25">
      <c r="A814" t="s">
        <v>390</v>
      </c>
      <c r="C814" s="286">
        <v>42369.812986111108</v>
      </c>
      <c r="D814" t="s">
        <v>382</v>
      </c>
      <c r="E814">
        <v>0</v>
      </c>
      <c r="F814" s="287"/>
      <c r="G814" s="287"/>
      <c r="H814" s="287"/>
      <c r="I814" t="s">
        <v>382</v>
      </c>
      <c r="J814" t="s">
        <v>42</v>
      </c>
    </row>
    <row r="815" spans="1:10" x14ac:dyDescent="0.25">
      <c r="A815" t="s">
        <v>396</v>
      </c>
      <c r="C815" s="286">
        <v>42370.160891203705</v>
      </c>
      <c r="D815" t="s">
        <v>382</v>
      </c>
      <c r="E815">
        <v>0</v>
      </c>
      <c r="F815" s="287"/>
      <c r="G815" s="287"/>
      <c r="H815" s="287"/>
      <c r="I815" t="s">
        <v>382</v>
      </c>
      <c r="J815" t="s">
        <v>42</v>
      </c>
    </row>
    <row r="816" spans="1:10" x14ac:dyDescent="0.25">
      <c r="A816" t="s">
        <v>396</v>
      </c>
      <c r="C816" s="286">
        <v>42370.767939814818</v>
      </c>
      <c r="D816" t="s">
        <v>382</v>
      </c>
      <c r="E816">
        <v>0</v>
      </c>
      <c r="F816" s="287"/>
      <c r="G816" s="287"/>
      <c r="H816" s="287"/>
      <c r="I816" t="s">
        <v>382</v>
      </c>
      <c r="J816" t="s">
        <v>42</v>
      </c>
    </row>
    <row r="817" spans="1:10" x14ac:dyDescent="0.25">
      <c r="A817" t="s">
        <v>390</v>
      </c>
      <c r="C817" s="286">
        <v>42370.768182870372</v>
      </c>
      <c r="D817" t="s">
        <v>382</v>
      </c>
      <c r="E817">
        <v>0</v>
      </c>
      <c r="F817" s="287"/>
      <c r="G817" s="287"/>
      <c r="H817" s="287"/>
      <c r="I817" t="s">
        <v>382</v>
      </c>
      <c r="J817" t="s">
        <v>42</v>
      </c>
    </row>
    <row r="818" spans="1:10" x14ac:dyDescent="0.25">
      <c r="A818" t="s">
        <v>396</v>
      </c>
      <c r="C818" s="286">
        <v>42371.753854166665</v>
      </c>
      <c r="D818" t="s">
        <v>382</v>
      </c>
      <c r="E818">
        <v>0</v>
      </c>
      <c r="F818" s="287"/>
      <c r="G818" s="287"/>
      <c r="H818" s="287"/>
      <c r="I818" t="s">
        <v>382</v>
      </c>
      <c r="J818" t="s">
        <v>42</v>
      </c>
    </row>
    <row r="819" spans="1:10" x14ac:dyDescent="0.25">
      <c r="A819" t="s">
        <v>390</v>
      </c>
      <c r="C819" s="286">
        <v>42371.805763888886</v>
      </c>
      <c r="D819" t="s">
        <v>382</v>
      </c>
      <c r="E819">
        <v>0</v>
      </c>
      <c r="F819" s="287"/>
      <c r="G819" s="287"/>
      <c r="H819" s="287"/>
      <c r="I819" t="s">
        <v>382</v>
      </c>
      <c r="J819" t="s">
        <v>42</v>
      </c>
    </row>
    <row r="820" spans="1:10" x14ac:dyDescent="0.25">
      <c r="A820" t="s">
        <v>390</v>
      </c>
      <c r="C820" s="286">
        <v>42371.854699074072</v>
      </c>
      <c r="D820" t="s">
        <v>382</v>
      </c>
      <c r="E820">
        <v>0</v>
      </c>
      <c r="F820" s="287"/>
      <c r="G820" s="287"/>
      <c r="H820" s="287"/>
      <c r="I820" t="s">
        <v>382</v>
      </c>
      <c r="J820" t="s">
        <v>42</v>
      </c>
    </row>
    <row r="821" spans="1:10" x14ac:dyDescent="0.25">
      <c r="A821" t="s">
        <v>396</v>
      </c>
      <c r="C821" s="286">
        <v>42372.790752314817</v>
      </c>
      <c r="D821" t="s">
        <v>382</v>
      </c>
      <c r="E821">
        <v>0</v>
      </c>
      <c r="F821" s="287"/>
      <c r="G821" s="287"/>
      <c r="H821" s="287"/>
      <c r="I821" t="s">
        <v>382</v>
      </c>
      <c r="J821" t="s">
        <v>42</v>
      </c>
    </row>
    <row r="822" spans="1:10" x14ac:dyDescent="0.25">
      <c r="A822" t="s">
        <v>390</v>
      </c>
      <c r="C822" s="286">
        <v>42372.808437500003</v>
      </c>
      <c r="D822" t="s">
        <v>382</v>
      </c>
      <c r="E822">
        <v>0</v>
      </c>
      <c r="F822" s="287"/>
      <c r="G822" s="287"/>
      <c r="H822" s="287"/>
      <c r="I822" t="s">
        <v>382</v>
      </c>
      <c r="J822" t="s">
        <v>42</v>
      </c>
    </row>
    <row r="823" spans="1:10" x14ac:dyDescent="0.25">
      <c r="A823" t="s">
        <v>396</v>
      </c>
      <c r="C823" s="286">
        <v>42373.550370370373</v>
      </c>
      <c r="D823" t="s">
        <v>382</v>
      </c>
      <c r="E823">
        <v>0</v>
      </c>
      <c r="F823" s="287"/>
      <c r="G823" s="287"/>
      <c r="H823" s="287"/>
      <c r="I823" t="s">
        <v>382</v>
      </c>
      <c r="J823" t="s">
        <v>42</v>
      </c>
    </row>
    <row r="824" spans="1:10" x14ac:dyDescent="0.25">
      <c r="A824" t="s">
        <v>396</v>
      </c>
      <c r="C824" s="286">
        <v>42373.550682870373</v>
      </c>
      <c r="D824" t="s">
        <v>382</v>
      </c>
      <c r="E824">
        <v>0</v>
      </c>
      <c r="F824" s="287"/>
      <c r="G824" s="287"/>
      <c r="H824" s="287"/>
      <c r="I824" t="s">
        <v>382</v>
      </c>
      <c r="J824" t="s">
        <v>42</v>
      </c>
    </row>
    <row r="825" spans="1:10" x14ac:dyDescent="0.25">
      <c r="A825" t="s">
        <v>396</v>
      </c>
      <c r="C825" s="286">
        <v>42373.708368055559</v>
      </c>
      <c r="D825" t="s">
        <v>382</v>
      </c>
      <c r="E825">
        <v>0</v>
      </c>
      <c r="F825" s="287"/>
      <c r="G825" s="287"/>
      <c r="H825" s="287"/>
      <c r="I825" t="s">
        <v>382</v>
      </c>
      <c r="J825" t="s">
        <v>42</v>
      </c>
    </row>
    <row r="826" spans="1:10" x14ac:dyDescent="0.25">
      <c r="A826" t="s">
        <v>390</v>
      </c>
      <c r="C826" s="286">
        <v>42373.862743055557</v>
      </c>
      <c r="D826" t="s">
        <v>382</v>
      </c>
      <c r="E826">
        <v>0</v>
      </c>
      <c r="F826" s="287"/>
      <c r="G826" s="287"/>
      <c r="H826" s="287"/>
      <c r="I826" t="s">
        <v>382</v>
      </c>
      <c r="J826" t="s">
        <v>42</v>
      </c>
    </row>
    <row r="827" spans="1:10" x14ac:dyDescent="0.25">
      <c r="A827" t="s">
        <v>390</v>
      </c>
      <c r="C827" s="286">
        <v>42374.842175925929</v>
      </c>
      <c r="D827" t="s">
        <v>382</v>
      </c>
      <c r="E827">
        <v>0</v>
      </c>
      <c r="F827" s="287"/>
      <c r="G827" s="287"/>
      <c r="H827" s="287"/>
      <c r="I827" t="s">
        <v>382</v>
      </c>
      <c r="J827" t="s">
        <v>42</v>
      </c>
    </row>
    <row r="828" spans="1:10" x14ac:dyDescent="0.25">
      <c r="A828" t="s">
        <v>390</v>
      </c>
      <c r="C828" s="286">
        <v>42375.714814814812</v>
      </c>
      <c r="D828" t="s">
        <v>382</v>
      </c>
      <c r="E828">
        <v>0</v>
      </c>
      <c r="F828" s="287"/>
      <c r="G828" s="287"/>
      <c r="H828" s="287"/>
      <c r="I828" t="s">
        <v>382</v>
      </c>
      <c r="J828" t="s">
        <v>42</v>
      </c>
    </row>
    <row r="829" spans="1:10" x14ac:dyDescent="0.25">
      <c r="A829" t="s">
        <v>396</v>
      </c>
      <c r="C829" s="286">
        <v>42375.752847222226</v>
      </c>
      <c r="D829" t="s">
        <v>382</v>
      </c>
      <c r="E829">
        <v>0</v>
      </c>
      <c r="F829" s="287"/>
      <c r="G829" s="287"/>
      <c r="H829" s="287"/>
      <c r="I829" t="s">
        <v>382</v>
      </c>
      <c r="J829" t="s">
        <v>42</v>
      </c>
    </row>
    <row r="830" spans="1:10" x14ac:dyDescent="0.25">
      <c r="A830" t="s">
        <v>390</v>
      </c>
      <c r="C830" s="286">
        <v>42375.769837962966</v>
      </c>
      <c r="D830" t="s">
        <v>382</v>
      </c>
      <c r="E830">
        <v>0</v>
      </c>
      <c r="F830" s="287"/>
      <c r="G830" s="287"/>
      <c r="H830" s="287"/>
      <c r="I830" t="s">
        <v>382</v>
      </c>
      <c r="J830" t="s">
        <v>42</v>
      </c>
    </row>
    <row r="831" spans="1:10" x14ac:dyDescent="0.25">
      <c r="A831" t="s">
        <v>390</v>
      </c>
      <c r="C831" s="286">
        <v>42375.86923611111</v>
      </c>
      <c r="D831" t="s">
        <v>382</v>
      </c>
      <c r="E831">
        <v>0</v>
      </c>
      <c r="F831" s="287"/>
      <c r="G831" s="287"/>
      <c r="H831" s="287"/>
      <c r="I831" t="s">
        <v>382</v>
      </c>
      <c r="J831" t="s">
        <v>42</v>
      </c>
    </row>
    <row r="832" spans="1:10" x14ac:dyDescent="0.25">
      <c r="A832" t="s">
        <v>390</v>
      </c>
      <c r="C832" s="286">
        <v>42376.401030092595</v>
      </c>
      <c r="D832" t="s">
        <v>382</v>
      </c>
      <c r="E832">
        <v>0</v>
      </c>
      <c r="F832" s="287"/>
      <c r="G832" s="287"/>
      <c r="H832" s="287"/>
      <c r="I832" t="s">
        <v>382</v>
      </c>
      <c r="J832" t="s">
        <v>42</v>
      </c>
    </row>
    <row r="833" spans="1:10" x14ac:dyDescent="0.25">
      <c r="A833" t="s">
        <v>396</v>
      </c>
      <c r="C833" s="286">
        <v>42376.71875</v>
      </c>
      <c r="D833" t="s">
        <v>382</v>
      </c>
      <c r="E833">
        <v>0</v>
      </c>
      <c r="F833" s="287"/>
      <c r="G833" s="287"/>
      <c r="H833" s="287"/>
      <c r="I833" t="s">
        <v>382</v>
      </c>
      <c r="J833" t="s">
        <v>42</v>
      </c>
    </row>
    <row r="834" spans="1:10" x14ac:dyDescent="0.25">
      <c r="A834" t="s">
        <v>390</v>
      </c>
      <c r="C834" s="286">
        <v>42376.820763888885</v>
      </c>
      <c r="D834" t="s">
        <v>382</v>
      </c>
      <c r="E834">
        <v>0</v>
      </c>
      <c r="F834" s="287"/>
      <c r="G834" s="287"/>
      <c r="H834" s="287"/>
      <c r="I834" t="s">
        <v>382</v>
      </c>
      <c r="J834" t="s">
        <v>42</v>
      </c>
    </row>
    <row r="835" spans="1:10" x14ac:dyDescent="0.25">
      <c r="A835" t="s">
        <v>396</v>
      </c>
      <c r="C835" s="286">
        <v>42377.699953703705</v>
      </c>
      <c r="D835" t="s">
        <v>382</v>
      </c>
      <c r="E835">
        <v>0</v>
      </c>
      <c r="F835" s="287"/>
      <c r="G835" s="287"/>
      <c r="H835" s="287"/>
      <c r="I835" t="s">
        <v>382</v>
      </c>
      <c r="J835" t="s">
        <v>42</v>
      </c>
    </row>
    <row r="836" spans="1:10" x14ac:dyDescent="0.25">
      <c r="A836" t="s">
        <v>390</v>
      </c>
      <c r="C836" s="286">
        <v>42377.788368055553</v>
      </c>
      <c r="D836" t="s">
        <v>382</v>
      </c>
      <c r="E836">
        <v>0</v>
      </c>
      <c r="F836" s="287"/>
      <c r="G836" s="287"/>
      <c r="H836" s="287"/>
      <c r="I836" t="s">
        <v>382</v>
      </c>
      <c r="J836" t="s">
        <v>42</v>
      </c>
    </row>
    <row r="837" spans="1:10" x14ac:dyDescent="0.25">
      <c r="A837" t="s">
        <v>406</v>
      </c>
      <c r="C837" s="286">
        <v>42378.070370370369</v>
      </c>
      <c r="D837" t="s">
        <v>382</v>
      </c>
      <c r="E837">
        <v>0</v>
      </c>
      <c r="F837" s="287"/>
      <c r="G837" s="287"/>
      <c r="H837" s="287"/>
      <c r="I837" t="s">
        <v>382</v>
      </c>
      <c r="J837" t="s">
        <v>42</v>
      </c>
    </row>
    <row r="838" spans="1:10" x14ac:dyDescent="0.25">
      <c r="A838" t="s">
        <v>396</v>
      </c>
      <c r="C838" s="286">
        <v>42378.748888888891</v>
      </c>
      <c r="D838" t="s">
        <v>382</v>
      </c>
      <c r="E838">
        <v>0</v>
      </c>
      <c r="F838" s="287"/>
      <c r="G838" s="287"/>
      <c r="H838" s="287"/>
      <c r="I838" t="s">
        <v>382</v>
      </c>
      <c r="J838" t="s">
        <v>42</v>
      </c>
    </row>
    <row r="839" spans="1:10" x14ac:dyDescent="0.25">
      <c r="A839" t="s">
        <v>390</v>
      </c>
      <c r="C839" s="286">
        <v>42378.828935185185</v>
      </c>
      <c r="D839" t="s">
        <v>382</v>
      </c>
      <c r="E839">
        <v>0</v>
      </c>
      <c r="F839" s="287"/>
      <c r="G839" s="287"/>
      <c r="H839" s="287"/>
      <c r="I839" t="s">
        <v>382</v>
      </c>
      <c r="J839" t="s">
        <v>42</v>
      </c>
    </row>
    <row r="840" spans="1:10" x14ac:dyDescent="0.25">
      <c r="A840" t="s">
        <v>406</v>
      </c>
      <c r="C840" s="286">
        <v>42379.497743055559</v>
      </c>
      <c r="D840" t="s">
        <v>382</v>
      </c>
      <c r="E840">
        <v>0</v>
      </c>
      <c r="F840" s="287"/>
      <c r="G840" s="287"/>
      <c r="H840" s="287"/>
      <c r="I840" t="s">
        <v>382</v>
      </c>
      <c r="J840" t="s">
        <v>42</v>
      </c>
    </row>
    <row r="841" spans="1:10" x14ac:dyDescent="0.25">
      <c r="A841" t="s">
        <v>390</v>
      </c>
      <c r="C841" s="286">
        <v>42379.83861111111</v>
      </c>
      <c r="D841" t="s">
        <v>382</v>
      </c>
      <c r="E841">
        <v>0</v>
      </c>
      <c r="F841" s="287"/>
      <c r="G841" s="287"/>
      <c r="H841" s="287"/>
      <c r="I841" t="s">
        <v>382</v>
      </c>
      <c r="J841" t="s">
        <v>42</v>
      </c>
    </row>
    <row r="842" spans="1:10" x14ac:dyDescent="0.25">
      <c r="A842" t="s">
        <v>396</v>
      </c>
      <c r="C842" s="286">
        <v>42379.867685185185</v>
      </c>
      <c r="D842" t="s">
        <v>382</v>
      </c>
      <c r="E842">
        <v>0</v>
      </c>
      <c r="F842" s="287"/>
      <c r="G842" s="287"/>
      <c r="H842" s="287"/>
      <c r="I842" t="s">
        <v>382</v>
      </c>
      <c r="J842" t="s">
        <v>42</v>
      </c>
    </row>
    <row r="843" spans="1:10" x14ac:dyDescent="0.25">
      <c r="A843" t="s">
        <v>390</v>
      </c>
      <c r="C843" s="286">
        <v>42380.707592592589</v>
      </c>
      <c r="D843" t="s">
        <v>382</v>
      </c>
      <c r="E843">
        <v>0</v>
      </c>
      <c r="F843" s="287"/>
      <c r="G843" s="287"/>
      <c r="H843" s="287"/>
      <c r="I843" t="s">
        <v>382</v>
      </c>
      <c r="J843" t="s">
        <v>42</v>
      </c>
    </row>
    <row r="844" spans="1:10" x14ac:dyDescent="0.25">
      <c r="A844" t="s">
        <v>390</v>
      </c>
      <c r="C844" s="286">
        <v>42380.713414351849</v>
      </c>
      <c r="D844" t="s">
        <v>382</v>
      </c>
      <c r="E844">
        <v>0</v>
      </c>
      <c r="F844" s="287"/>
      <c r="G844" s="287"/>
      <c r="H844" s="287"/>
      <c r="I844" t="s">
        <v>382</v>
      </c>
      <c r="J844" t="s">
        <v>42</v>
      </c>
    </row>
    <row r="845" spans="1:10" x14ac:dyDescent="0.25">
      <c r="A845" t="s">
        <v>390</v>
      </c>
      <c r="C845" s="286">
        <v>42380.824456018519</v>
      </c>
      <c r="D845" t="s">
        <v>382</v>
      </c>
      <c r="E845">
        <v>0</v>
      </c>
      <c r="F845" s="287"/>
      <c r="G845" s="287"/>
      <c r="H845" s="287"/>
      <c r="I845" t="s">
        <v>382</v>
      </c>
      <c r="J845" t="s">
        <v>42</v>
      </c>
    </row>
    <row r="846" spans="1:10" x14ac:dyDescent="0.25">
      <c r="A846" t="s">
        <v>390</v>
      </c>
      <c r="C846" s="286">
        <v>42381.005844907406</v>
      </c>
      <c r="D846" t="s">
        <v>382</v>
      </c>
      <c r="E846">
        <v>0</v>
      </c>
      <c r="F846" s="287"/>
      <c r="G846" s="287"/>
      <c r="H846" s="287"/>
      <c r="I846" t="s">
        <v>382</v>
      </c>
      <c r="J846" t="s">
        <v>42</v>
      </c>
    </row>
    <row r="847" spans="1:10" x14ac:dyDescent="0.25">
      <c r="A847" t="s">
        <v>390</v>
      </c>
      <c r="C847" s="286">
        <v>42381.007175925923</v>
      </c>
      <c r="D847" t="s">
        <v>382</v>
      </c>
      <c r="E847">
        <v>0</v>
      </c>
      <c r="F847" s="287"/>
      <c r="G847" s="287"/>
      <c r="H847" s="287"/>
      <c r="I847" t="s">
        <v>382</v>
      </c>
      <c r="J847" t="s">
        <v>42</v>
      </c>
    </row>
    <row r="848" spans="1:10" x14ac:dyDescent="0.25">
      <c r="A848" t="s">
        <v>390</v>
      </c>
      <c r="C848" s="286">
        <v>42381.011273148149</v>
      </c>
      <c r="D848" t="s">
        <v>382</v>
      </c>
      <c r="E848">
        <v>0</v>
      </c>
      <c r="F848" s="287"/>
      <c r="G848" s="287"/>
      <c r="H848" s="287"/>
      <c r="I848" t="s">
        <v>382</v>
      </c>
      <c r="J848" t="s">
        <v>42</v>
      </c>
    </row>
    <row r="849" spans="1:10" x14ac:dyDescent="0.25">
      <c r="A849" t="s">
        <v>390</v>
      </c>
      <c r="C849" s="286">
        <v>42381.011377314811</v>
      </c>
      <c r="D849" t="s">
        <v>382</v>
      </c>
      <c r="E849">
        <v>0</v>
      </c>
      <c r="F849" s="287"/>
      <c r="G849" s="287"/>
      <c r="H849" s="287"/>
      <c r="I849" t="s">
        <v>382</v>
      </c>
      <c r="J849" t="s">
        <v>42</v>
      </c>
    </row>
    <row r="850" spans="1:10" x14ac:dyDescent="0.25">
      <c r="A850" t="s">
        <v>390</v>
      </c>
      <c r="C850" s="286">
        <v>42381.019571759258</v>
      </c>
      <c r="D850" t="s">
        <v>382</v>
      </c>
      <c r="E850">
        <v>0</v>
      </c>
      <c r="F850" s="287"/>
      <c r="G850" s="287"/>
      <c r="H850" s="287"/>
      <c r="I850" t="s">
        <v>382</v>
      </c>
      <c r="J850" t="s">
        <v>42</v>
      </c>
    </row>
    <row r="851" spans="1:10" x14ac:dyDescent="0.25">
      <c r="A851" t="s">
        <v>390</v>
      </c>
      <c r="C851" s="286">
        <v>42381.019953703704</v>
      </c>
      <c r="D851" t="s">
        <v>382</v>
      </c>
      <c r="E851">
        <v>0</v>
      </c>
      <c r="F851" s="287"/>
      <c r="G851" s="287"/>
      <c r="H851" s="287"/>
      <c r="I851" t="s">
        <v>382</v>
      </c>
      <c r="J851" t="s">
        <v>42</v>
      </c>
    </row>
    <row r="852" spans="1:10" x14ac:dyDescent="0.25">
      <c r="A852" t="s">
        <v>390</v>
      </c>
      <c r="C852" s="286">
        <v>42381.335648148146</v>
      </c>
      <c r="D852" t="s">
        <v>382</v>
      </c>
      <c r="E852">
        <v>0</v>
      </c>
      <c r="F852" s="287"/>
      <c r="G852" s="287"/>
      <c r="H852" s="287"/>
      <c r="I852" t="s">
        <v>382</v>
      </c>
      <c r="J852" t="s">
        <v>42</v>
      </c>
    </row>
    <row r="853" spans="1:10" x14ac:dyDescent="0.25">
      <c r="A853" t="s">
        <v>390</v>
      </c>
      <c r="C853" s="286">
        <v>42381.3515162037</v>
      </c>
      <c r="D853" t="s">
        <v>382</v>
      </c>
      <c r="E853">
        <v>0</v>
      </c>
      <c r="F853" s="287"/>
      <c r="G853" s="287"/>
      <c r="H853" s="287"/>
      <c r="I853" t="s">
        <v>382</v>
      </c>
      <c r="J853" t="s">
        <v>42</v>
      </c>
    </row>
    <row r="854" spans="1:10" x14ac:dyDescent="0.25">
      <c r="A854" t="s">
        <v>390</v>
      </c>
      <c r="C854" s="286">
        <v>42381.420856481483</v>
      </c>
      <c r="D854" t="s">
        <v>382</v>
      </c>
      <c r="E854">
        <v>0</v>
      </c>
      <c r="F854" s="287"/>
      <c r="G854" s="287"/>
      <c r="H854" s="287"/>
      <c r="I854" t="s">
        <v>382</v>
      </c>
      <c r="J854" t="s">
        <v>42</v>
      </c>
    </row>
    <row r="855" spans="1:10" x14ac:dyDescent="0.25">
      <c r="A855" t="s">
        <v>390</v>
      </c>
      <c r="C855" s="286">
        <v>42381.421666666669</v>
      </c>
      <c r="D855" t="s">
        <v>382</v>
      </c>
      <c r="E855">
        <v>0</v>
      </c>
      <c r="F855" s="287"/>
      <c r="G855" s="287"/>
      <c r="H855" s="287"/>
      <c r="I855" t="s">
        <v>382</v>
      </c>
      <c r="J855" t="s">
        <v>42</v>
      </c>
    </row>
    <row r="856" spans="1:10" x14ac:dyDescent="0.25">
      <c r="A856" t="s">
        <v>396</v>
      </c>
      <c r="C856" s="286">
        <v>42381.746111111112</v>
      </c>
      <c r="D856" t="s">
        <v>382</v>
      </c>
      <c r="E856">
        <v>0</v>
      </c>
      <c r="F856" s="287"/>
      <c r="G856" s="287"/>
      <c r="H856" s="287"/>
      <c r="I856" t="s">
        <v>382</v>
      </c>
      <c r="J856" t="s">
        <v>42</v>
      </c>
    </row>
    <row r="857" spans="1:10" x14ac:dyDescent="0.25">
      <c r="A857" t="s">
        <v>390</v>
      </c>
      <c r="C857" s="286">
        <v>42381.813738425924</v>
      </c>
      <c r="D857" t="s">
        <v>382</v>
      </c>
      <c r="E857">
        <v>0</v>
      </c>
      <c r="F857" s="287"/>
      <c r="G857" s="287"/>
      <c r="H857" s="287"/>
      <c r="I857" t="s">
        <v>382</v>
      </c>
      <c r="J857" t="s">
        <v>42</v>
      </c>
    </row>
    <row r="858" spans="1:10" x14ac:dyDescent="0.25">
      <c r="A858" t="s">
        <v>390</v>
      </c>
      <c r="C858" s="286">
        <v>42382.743437500001</v>
      </c>
      <c r="D858" t="s">
        <v>382</v>
      </c>
      <c r="E858">
        <v>0</v>
      </c>
      <c r="F858" s="287"/>
      <c r="G858" s="287"/>
      <c r="H858" s="287"/>
      <c r="I858" t="s">
        <v>382</v>
      </c>
      <c r="J858" t="s">
        <v>42</v>
      </c>
    </row>
    <row r="859" spans="1:10" x14ac:dyDescent="0.25">
      <c r="A859" t="s">
        <v>390</v>
      </c>
      <c r="C859" s="286">
        <v>42382.872013888889</v>
      </c>
      <c r="D859" t="s">
        <v>382</v>
      </c>
      <c r="E859">
        <v>0</v>
      </c>
      <c r="F859" s="287"/>
      <c r="G859" s="287"/>
      <c r="H859" s="287"/>
      <c r="I859" t="s">
        <v>382</v>
      </c>
      <c r="J859" t="s">
        <v>42</v>
      </c>
    </row>
    <row r="860" spans="1:10" x14ac:dyDescent="0.25">
      <c r="A860" t="s">
        <v>390</v>
      </c>
      <c r="C860" s="286">
        <v>42383.11513888889</v>
      </c>
      <c r="D860" t="s">
        <v>382</v>
      </c>
      <c r="E860">
        <v>0</v>
      </c>
      <c r="F860" s="287"/>
      <c r="G860" s="287"/>
      <c r="H860" s="287"/>
      <c r="I860" t="s">
        <v>382</v>
      </c>
      <c r="J860" t="s">
        <v>42</v>
      </c>
    </row>
    <row r="861" spans="1:10" x14ac:dyDescent="0.25">
      <c r="A861" t="s">
        <v>396</v>
      </c>
      <c r="C861" s="286">
        <v>42383.755798611113</v>
      </c>
      <c r="D861" t="s">
        <v>382</v>
      </c>
      <c r="E861">
        <v>0</v>
      </c>
      <c r="F861" s="287"/>
      <c r="G861" s="287"/>
      <c r="H861" s="287"/>
      <c r="I861" t="s">
        <v>382</v>
      </c>
      <c r="J861" t="s">
        <v>42</v>
      </c>
    </row>
    <row r="862" spans="1:10" x14ac:dyDescent="0.25">
      <c r="A862" t="s">
        <v>390</v>
      </c>
      <c r="C862" s="286">
        <v>42383.826608796298</v>
      </c>
      <c r="D862" t="s">
        <v>382</v>
      </c>
      <c r="E862">
        <v>0</v>
      </c>
      <c r="F862" s="287"/>
      <c r="G862" s="287"/>
      <c r="H862" s="287"/>
      <c r="I862" t="s">
        <v>382</v>
      </c>
      <c r="J862" t="s">
        <v>42</v>
      </c>
    </row>
    <row r="863" spans="1:10" x14ac:dyDescent="0.25">
      <c r="A863" t="s">
        <v>390</v>
      </c>
      <c r="C863" s="286">
        <v>42384.734942129631</v>
      </c>
      <c r="D863" t="s">
        <v>382</v>
      </c>
      <c r="E863">
        <v>0</v>
      </c>
      <c r="F863" s="287"/>
      <c r="G863" s="287"/>
      <c r="H863" s="287"/>
      <c r="I863" t="s">
        <v>382</v>
      </c>
      <c r="J863" t="s">
        <v>42</v>
      </c>
    </row>
    <row r="864" spans="1:10" x14ac:dyDescent="0.25">
      <c r="A864" t="s">
        <v>390</v>
      </c>
      <c r="C864" s="286">
        <v>42384.742685185185</v>
      </c>
      <c r="D864" t="s">
        <v>382</v>
      </c>
      <c r="E864">
        <v>0</v>
      </c>
      <c r="F864" s="287"/>
      <c r="G864" s="287"/>
      <c r="H864" s="287"/>
      <c r="I864" t="s">
        <v>382</v>
      </c>
      <c r="J864" t="s">
        <v>42</v>
      </c>
    </row>
    <row r="865" spans="1:10" x14ac:dyDescent="0.25">
      <c r="A865" t="s">
        <v>390</v>
      </c>
      <c r="C865" s="286">
        <v>42384.846562500003</v>
      </c>
      <c r="D865" t="s">
        <v>382</v>
      </c>
      <c r="E865">
        <v>0</v>
      </c>
      <c r="F865" s="287"/>
      <c r="G865" s="287"/>
      <c r="H865" s="287"/>
      <c r="I865" t="s">
        <v>382</v>
      </c>
      <c r="J865" t="s">
        <v>42</v>
      </c>
    </row>
    <row r="866" spans="1:10" x14ac:dyDescent="0.25">
      <c r="A866" t="s">
        <v>406</v>
      </c>
      <c r="C866" s="286">
        <v>42385.130324074074</v>
      </c>
      <c r="D866" t="s">
        <v>382</v>
      </c>
      <c r="E866">
        <v>0</v>
      </c>
      <c r="F866" s="287"/>
      <c r="G866" s="287"/>
      <c r="H866" s="287"/>
      <c r="I866" t="s">
        <v>382</v>
      </c>
      <c r="J866" t="s">
        <v>42</v>
      </c>
    </row>
    <row r="867" spans="1:10" x14ac:dyDescent="0.25">
      <c r="A867" t="s">
        <v>404</v>
      </c>
      <c r="C867" s="286">
        <v>42385.188726851855</v>
      </c>
      <c r="D867" t="s">
        <v>382</v>
      </c>
      <c r="E867">
        <v>0</v>
      </c>
      <c r="F867" s="287"/>
      <c r="G867" s="287"/>
      <c r="H867" s="287"/>
      <c r="I867" t="s">
        <v>382</v>
      </c>
      <c r="J867" t="s">
        <v>42</v>
      </c>
    </row>
    <row r="868" spans="1:10" x14ac:dyDescent="0.25">
      <c r="A868" t="s">
        <v>396</v>
      </c>
      <c r="C868" s="286">
        <v>42385.350798611114</v>
      </c>
      <c r="D868" t="s">
        <v>382</v>
      </c>
      <c r="E868">
        <v>0</v>
      </c>
      <c r="F868" s="287"/>
      <c r="G868" s="287"/>
      <c r="H868" s="287"/>
      <c r="I868" t="s">
        <v>382</v>
      </c>
      <c r="J868" t="s">
        <v>42</v>
      </c>
    </row>
    <row r="869" spans="1:10" x14ac:dyDescent="0.25">
      <c r="A869" t="s">
        <v>390</v>
      </c>
      <c r="C869" s="286">
        <v>42385.819305555553</v>
      </c>
      <c r="D869" t="s">
        <v>382</v>
      </c>
      <c r="E869">
        <v>0</v>
      </c>
      <c r="F869" s="287"/>
      <c r="G869" s="287"/>
      <c r="H869" s="287"/>
      <c r="I869" t="s">
        <v>382</v>
      </c>
      <c r="J869" t="s">
        <v>42</v>
      </c>
    </row>
    <row r="870" spans="1:10" x14ac:dyDescent="0.25">
      <c r="A870" t="s">
        <v>396</v>
      </c>
      <c r="C870" s="286">
        <v>42385.838807870372</v>
      </c>
      <c r="D870" t="s">
        <v>382</v>
      </c>
      <c r="E870">
        <v>0</v>
      </c>
      <c r="F870" s="287"/>
      <c r="G870" s="287"/>
      <c r="H870" s="287"/>
      <c r="I870" t="s">
        <v>382</v>
      </c>
      <c r="J870" t="s">
        <v>42</v>
      </c>
    </row>
    <row r="871" spans="1:10" x14ac:dyDescent="0.25">
      <c r="A871" t="s">
        <v>390</v>
      </c>
      <c r="C871" s="286">
        <v>42386.719930555555</v>
      </c>
      <c r="D871" t="s">
        <v>382</v>
      </c>
      <c r="E871">
        <v>0</v>
      </c>
      <c r="F871" s="287"/>
      <c r="G871" s="287"/>
      <c r="H871" s="287"/>
      <c r="I871" t="s">
        <v>382</v>
      </c>
      <c r="J871" t="s">
        <v>42</v>
      </c>
    </row>
    <row r="872" spans="1:10" x14ac:dyDescent="0.25">
      <c r="A872" t="s">
        <v>390</v>
      </c>
      <c r="C872" s="286">
        <v>42386.848101851851</v>
      </c>
      <c r="D872" t="s">
        <v>382</v>
      </c>
      <c r="E872">
        <v>0</v>
      </c>
      <c r="F872" s="287"/>
      <c r="G872" s="287"/>
      <c r="H872" s="287"/>
      <c r="I872" t="s">
        <v>382</v>
      </c>
      <c r="J872" t="s">
        <v>42</v>
      </c>
    </row>
    <row r="873" spans="1:10" x14ac:dyDescent="0.25">
      <c r="A873" t="s">
        <v>396</v>
      </c>
      <c r="C873" s="286">
        <v>42387.769629629627</v>
      </c>
      <c r="D873" t="s">
        <v>382</v>
      </c>
      <c r="E873">
        <v>0</v>
      </c>
      <c r="F873" s="287"/>
      <c r="G873" s="287"/>
      <c r="H873" s="287"/>
      <c r="I873" t="s">
        <v>382</v>
      </c>
      <c r="J873" t="s">
        <v>42</v>
      </c>
    </row>
    <row r="874" spans="1:10" x14ac:dyDescent="0.25">
      <c r="A874" t="s">
        <v>390</v>
      </c>
      <c r="C874" s="286">
        <v>42387.814629629633</v>
      </c>
      <c r="D874" t="s">
        <v>382</v>
      </c>
      <c r="E874">
        <v>0</v>
      </c>
      <c r="F874" s="287"/>
      <c r="G874" s="287"/>
      <c r="H874" s="287"/>
      <c r="I874" t="s">
        <v>382</v>
      </c>
      <c r="J874" t="s">
        <v>42</v>
      </c>
    </row>
    <row r="875" spans="1:10" x14ac:dyDescent="0.25">
      <c r="A875" t="s">
        <v>390</v>
      </c>
      <c r="C875" s="286">
        <v>42388.815949074073</v>
      </c>
      <c r="D875" t="s">
        <v>382</v>
      </c>
      <c r="E875">
        <v>0</v>
      </c>
      <c r="F875" s="287"/>
      <c r="G875" s="287"/>
      <c r="H875" s="287"/>
      <c r="I875" t="s">
        <v>382</v>
      </c>
      <c r="J875" t="s">
        <v>42</v>
      </c>
    </row>
    <row r="876" spans="1:10" x14ac:dyDescent="0.25">
      <c r="A876" t="s">
        <v>390</v>
      </c>
      <c r="C876" s="286">
        <v>42389.560636574075</v>
      </c>
      <c r="D876" t="s">
        <v>382</v>
      </c>
      <c r="E876">
        <v>0</v>
      </c>
      <c r="F876" s="287"/>
      <c r="G876" s="287"/>
      <c r="H876" s="287"/>
      <c r="I876" t="s">
        <v>382</v>
      </c>
      <c r="J876" t="s">
        <v>42</v>
      </c>
    </row>
    <row r="877" spans="1:10" x14ac:dyDescent="0.25">
      <c r="A877" t="s">
        <v>390</v>
      </c>
      <c r="C877" s="286">
        <v>42389.72451388889</v>
      </c>
      <c r="D877" t="s">
        <v>382</v>
      </c>
      <c r="E877">
        <v>0</v>
      </c>
      <c r="F877" s="287"/>
      <c r="G877" s="287"/>
      <c r="H877" s="287"/>
      <c r="I877" t="s">
        <v>382</v>
      </c>
      <c r="J877" t="s">
        <v>42</v>
      </c>
    </row>
    <row r="878" spans="1:10" x14ac:dyDescent="0.25">
      <c r="A878" t="s">
        <v>396</v>
      </c>
      <c r="C878" s="286">
        <v>42389.83425925926</v>
      </c>
      <c r="D878" t="s">
        <v>382</v>
      </c>
      <c r="E878">
        <v>0</v>
      </c>
      <c r="F878" s="287"/>
      <c r="G878" s="287"/>
      <c r="H878" s="287"/>
      <c r="I878" t="s">
        <v>382</v>
      </c>
      <c r="J878" t="s">
        <v>42</v>
      </c>
    </row>
    <row r="879" spans="1:10" x14ac:dyDescent="0.25">
      <c r="A879" t="s">
        <v>390</v>
      </c>
      <c r="C879" s="286">
        <v>42389.866412037038</v>
      </c>
      <c r="D879" t="s">
        <v>382</v>
      </c>
      <c r="E879">
        <v>0</v>
      </c>
      <c r="F879" s="287"/>
      <c r="G879" s="287"/>
      <c r="H879" s="287"/>
      <c r="I879" t="s">
        <v>382</v>
      </c>
      <c r="J879" t="s">
        <v>42</v>
      </c>
    </row>
    <row r="880" spans="1:10" x14ac:dyDescent="0.25">
      <c r="A880" t="s">
        <v>390</v>
      </c>
      <c r="C880" s="286">
        <v>42390.704942129632</v>
      </c>
      <c r="D880" t="s">
        <v>382</v>
      </c>
      <c r="E880">
        <v>0</v>
      </c>
      <c r="F880" s="287"/>
      <c r="G880" s="287"/>
      <c r="H880" s="287"/>
      <c r="I880" t="s">
        <v>382</v>
      </c>
      <c r="J880" t="s">
        <v>42</v>
      </c>
    </row>
    <row r="881" spans="1:10" x14ac:dyDescent="0.25">
      <c r="A881" t="s">
        <v>390</v>
      </c>
      <c r="C881" s="286">
        <v>42390.751446759263</v>
      </c>
      <c r="D881" t="s">
        <v>382</v>
      </c>
      <c r="E881">
        <v>0</v>
      </c>
      <c r="F881" s="287"/>
      <c r="G881" s="287"/>
      <c r="H881" s="287"/>
      <c r="I881" t="s">
        <v>382</v>
      </c>
      <c r="J881" t="s">
        <v>42</v>
      </c>
    </row>
    <row r="882" spans="1:10" x14ac:dyDescent="0.25">
      <c r="A882" t="s">
        <v>390</v>
      </c>
      <c r="C882" s="286">
        <v>42390.86681712963</v>
      </c>
      <c r="D882" t="s">
        <v>382</v>
      </c>
      <c r="E882">
        <v>0</v>
      </c>
      <c r="F882" s="287"/>
      <c r="G882" s="287"/>
      <c r="H882" s="287"/>
      <c r="I882" t="s">
        <v>382</v>
      </c>
      <c r="J882" t="s">
        <v>42</v>
      </c>
    </row>
    <row r="883" spans="1:10" x14ac:dyDescent="0.25">
      <c r="A883" t="s">
        <v>414</v>
      </c>
      <c r="C883" s="286">
        <v>42391.753587962965</v>
      </c>
      <c r="D883" t="s">
        <v>382</v>
      </c>
      <c r="E883">
        <v>0</v>
      </c>
      <c r="F883" s="287"/>
      <c r="G883" s="287"/>
      <c r="H883" s="287"/>
      <c r="I883" t="s">
        <v>382</v>
      </c>
      <c r="J883" t="s">
        <v>42</v>
      </c>
    </row>
    <row r="884" spans="1:10" x14ac:dyDescent="0.25">
      <c r="A884" t="s">
        <v>415</v>
      </c>
      <c r="C884" s="286">
        <v>42391.789166666669</v>
      </c>
      <c r="D884" t="s">
        <v>382</v>
      </c>
      <c r="E884">
        <v>0</v>
      </c>
      <c r="F884" s="287"/>
      <c r="G884" s="287"/>
      <c r="H884" s="287"/>
      <c r="I884" t="s">
        <v>382</v>
      </c>
      <c r="J884" t="s">
        <v>42</v>
      </c>
    </row>
    <row r="885" spans="1:10" x14ac:dyDescent="0.25">
      <c r="A885" t="s">
        <v>396</v>
      </c>
      <c r="C885" s="286">
        <v>42391.800370370373</v>
      </c>
      <c r="D885" t="s">
        <v>382</v>
      </c>
      <c r="E885">
        <v>0</v>
      </c>
      <c r="F885" s="287"/>
      <c r="G885" s="287"/>
      <c r="H885" s="287"/>
      <c r="I885" t="s">
        <v>382</v>
      </c>
      <c r="J885" t="s">
        <v>42</v>
      </c>
    </row>
    <row r="886" spans="1:10" x14ac:dyDescent="0.25">
      <c r="A886" t="s">
        <v>390</v>
      </c>
      <c r="C886" s="286">
        <v>42391.861608796295</v>
      </c>
      <c r="D886" t="s">
        <v>382</v>
      </c>
      <c r="E886">
        <v>0</v>
      </c>
      <c r="F886" s="287"/>
      <c r="G886" s="287"/>
      <c r="H886" s="287"/>
      <c r="I886" t="s">
        <v>382</v>
      </c>
      <c r="J886" t="s">
        <v>42</v>
      </c>
    </row>
    <row r="887" spans="1:10" x14ac:dyDescent="0.25">
      <c r="A887" t="s">
        <v>388</v>
      </c>
      <c r="C887" s="286">
        <v>42392.455451388887</v>
      </c>
      <c r="D887" t="s">
        <v>382</v>
      </c>
      <c r="E887">
        <v>0</v>
      </c>
      <c r="F887" s="287"/>
      <c r="G887" s="287"/>
      <c r="H887" s="287"/>
      <c r="I887" t="s">
        <v>382</v>
      </c>
      <c r="J887" t="s">
        <v>42</v>
      </c>
    </row>
    <row r="888" spans="1:10" x14ac:dyDescent="0.25">
      <c r="A888" t="s">
        <v>406</v>
      </c>
      <c r="C888" s="286">
        <v>42392.743773148148</v>
      </c>
      <c r="D888" t="s">
        <v>382</v>
      </c>
      <c r="E888">
        <v>0</v>
      </c>
      <c r="F888" s="287"/>
      <c r="G888" s="287"/>
      <c r="H888" s="287"/>
      <c r="I888" t="s">
        <v>382</v>
      </c>
      <c r="J888" t="s">
        <v>42</v>
      </c>
    </row>
    <row r="889" spans="1:10" x14ac:dyDescent="0.25">
      <c r="A889" t="s">
        <v>416</v>
      </c>
      <c r="C889" s="286">
        <v>42392.745486111111</v>
      </c>
      <c r="D889" t="s">
        <v>382</v>
      </c>
      <c r="E889">
        <v>0</v>
      </c>
      <c r="F889" s="287"/>
      <c r="G889" s="287"/>
      <c r="H889" s="287"/>
      <c r="I889" t="s">
        <v>382</v>
      </c>
      <c r="J889" t="s">
        <v>42</v>
      </c>
    </row>
    <row r="890" spans="1:10" x14ac:dyDescent="0.25">
      <c r="A890" t="s">
        <v>416</v>
      </c>
      <c r="C890" s="286">
        <v>42392.745787037034</v>
      </c>
      <c r="D890" t="s">
        <v>382</v>
      </c>
      <c r="E890">
        <v>0</v>
      </c>
      <c r="F890" s="287"/>
      <c r="G890" s="287"/>
      <c r="H890" s="287"/>
      <c r="I890" t="s">
        <v>382</v>
      </c>
      <c r="J890" t="s">
        <v>42</v>
      </c>
    </row>
    <row r="891" spans="1:10" x14ac:dyDescent="0.25">
      <c r="A891" t="s">
        <v>416</v>
      </c>
      <c r="C891" s="286">
        <v>42392.747800925928</v>
      </c>
      <c r="D891" t="s">
        <v>382</v>
      </c>
      <c r="E891">
        <v>0</v>
      </c>
      <c r="F891" s="287"/>
      <c r="G891" s="287"/>
      <c r="H891" s="287"/>
      <c r="I891" t="s">
        <v>382</v>
      </c>
      <c r="J891" t="s">
        <v>42</v>
      </c>
    </row>
    <row r="892" spans="1:10" x14ac:dyDescent="0.25">
      <c r="A892" t="s">
        <v>416</v>
      </c>
      <c r="C892" s="286">
        <v>42392.748182870368</v>
      </c>
      <c r="D892" t="s">
        <v>382</v>
      </c>
      <c r="E892">
        <v>0</v>
      </c>
      <c r="F892" s="287"/>
      <c r="G892" s="287"/>
      <c r="H892" s="287"/>
      <c r="I892" t="s">
        <v>382</v>
      </c>
      <c r="J892" t="s">
        <v>42</v>
      </c>
    </row>
    <row r="893" spans="1:10" x14ac:dyDescent="0.25">
      <c r="A893" t="s">
        <v>405</v>
      </c>
      <c r="C893" s="286">
        <v>42392.749097222222</v>
      </c>
      <c r="D893" t="s">
        <v>382</v>
      </c>
      <c r="E893">
        <v>0</v>
      </c>
      <c r="F893" s="287"/>
      <c r="G893" s="287"/>
      <c r="H893" s="287"/>
      <c r="I893" t="s">
        <v>382</v>
      </c>
      <c r="J893" t="s">
        <v>42</v>
      </c>
    </row>
    <row r="894" spans="1:10" x14ac:dyDescent="0.25">
      <c r="A894" t="s">
        <v>390</v>
      </c>
      <c r="C894" s="286">
        <v>42392.858136574076</v>
      </c>
      <c r="D894" t="s">
        <v>382</v>
      </c>
      <c r="E894">
        <v>0</v>
      </c>
      <c r="F894" s="287"/>
      <c r="G894" s="287"/>
      <c r="H894" s="287"/>
      <c r="I894" t="s">
        <v>382</v>
      </c>
      <c r="J894" t="s">
        <v>42</v>
      </c>
    </row>
    <row r="895" spans="1:10" x14ac:dyDescent="0.25">
      <c r="A895" t="s">
        <v>390</v>
      </c>
      <c r="C895" s="286">
        <v>42393.791956018518</v>
      </c>
      <c r="D895" t="s">
        <v>382</v>
      </c>
      <c r="E895">
        <v>0</v>
      </c>
      <c r="F895" s="287"/>
      <c r="G895" s="287"/>
      <c r="H895" s="287"/>
      <c r="I895" t="s">
        <v>382</v>
      </c>
      <c r="J895" t="s">
        <v>42</v>
      </c>
    </row>
    <row r="896" spans="1:10" x14ac:dyDescent="0.25">
      <c r="A896" t="s">
        <v>396</v>
      </c>
      <c r="C896" s="286">
        <v>42393.822858796295</v>
      </c>
      <c r="D896" t="s">
        <v>382</v>
      </c>
      <c r="E896">
        <v>0</v>
      </c>
      <c r="F896" s="287"/>
      <c r="G896" s="287"/>
      <c r="H896" s="287"/>
      <c r="I896" t="s">
        <v>382</v>
      </c>
      <c r="J896" t="s">
        <v>42</v>
      </c>
    </row>
    <row r="897" spans="1:10" x14ac:dyDescent="0.25">
      <c r="A897" t="s">
        <v>390</v>
      </c>
      <c r="C897" s="286">
        <v>42395.751979166664</v>
      </c>
      <c r="D897" t="s">
        <v>382</v>
      </c>
      <c r="E897">
        <v>0</v>
      </c>
      <c r="F897" s="287"/>
      <c r="G897" s="287"/>
      <c r="H897" s="287"/>
      <c r="I897" t="s">
        <v>382</v>
      </c>
      <c r="J897" t="s">
        <v>42</v>
      </c>
    </row>
    <row r="898" spans="1:10" x14ac:dyDescent="0.25">
      <c r="A898" t="s">
        <v>396</v>
      </c>
      <c r="C898" s="286">
        <v>42395.794224537036</v>
      </c>
      <c r="D898" t="s">
        <v>382</v>
      </c>
      <c r="E898">
        <v>0</v>
      </c>
      <c r="F898" s="287"/>
      <c r="G898" s="287"/>
      <c r="H898" s="287"/>
      <c r="I898" t="s">
        <v>382</v>
      </c>
      <c r="J898" t="s">
        <v>42</v>
      </c>
    </row>
    <row r="899" spans="1:10" x14ac:dyDescent="0.25">
      <c r="A899" t="s">
        <v>390</v>
      </c>
      <c r="C899" s="286">
        <v>42395.808425925927</v>
      </c>
      <c r="D899" t="s">
        <v>382</v>
      </c>
      <c r="E899">
        <v>0</v>
      </c>
      <c r="F899" s="287"/>
      <c r="G899" s="287"/>
      <c r="H899" s="287"/>
      <c r="I899" t="s">
        <v>382</v>
      </c>
      <c r="J899" t="s">
        <v>42</v>
      </c>
    </row>
    <row r="900" spans="1:10" x14ac:dyDescent="0.25">
      <c r="A900" t="s">
        <v>390</v>
      </c>
      <c r="C900" s="286">
        <v>42396.764537037037</v>
      </c>
      <c r="D900" t="s">
        <v>382</v>
      </c>
      <c r="E900">
        <v>0</v>
      </c>
      <c r="F900" s="287"/>
      <c r="G900" s="287"/>
      <c r="H900" s="287"/>
      <c r="I900" t="s">
        <v>382</v>
      </c>
      <c r="J900" t="s">
        <v>42</v>
      </c>
    </row>
    <row r="901" spans="1:10" x14ac:dyDescent="0.25">
      <c r="A901" t="s">
        <v>390</v>
      </c>
      <c r="C901" s="286">
        <v>42396.842939814815</v>
      </c>
      <c r="D901" t="s">
        <v>382</v>
      </c>
      <c r="E901">
        <v>0</v>
      </c>
      <c r="F901" s="287"/>
      <c r="G901" s="287"/>
      <c r="H901" s="287"/>
      <c r="I901" t="s">
        <v>382</v>
      </c>
      <c r="J901" t="s">
        <v>42</v>
      </c>
    </row>
    <row r="902" spans="1:10" x14ac:dyDescent="0.25">
      <c r="A902" t="s">
        <v>390</v>
      </c>
      <c r="C902" s="286">
        <v>42397.534479166665</v>
      </c>
      <c r="D902" t="s">
        <v>382</v>
      </c>
      <c r="E902">
        <v>0</v>
      </c>
      <c r="F902" s="287"/>
      <c r="G902" s="287"/>
      <c r="H902" s="287"/>
      <c r="I902" t="s">
        <v>382</v>
      </c>
      <c r="J902" t="s">
        <v>42</v>
      </c>
    </row>
    <row r="903" spans="1:10" x14ac:dyDescent="0.25">
      <c r="A903" t="s">
        <v>390</v>
      </c>
      <c r="C903" s="286">
        <v>42397.771944444445</v>
      </c>
      <c r="D903" t="s">
        <v>382</v>
      </c>
      <c r="E903">
        <v>0</v>
      </c>
      <c r="F903" s="287"/>
      <c r="G903" s="287"/>
      <c r="H903" s="287"/>
      <c r="I903" t="s">
        <v>382</v>
      </c>
      <c r="J903" t="s">
        <v>42</v>
      </c>
    </row>
    <row r="904" spans="1:10" x14ac:dyDescent="0.25">
      <c r="A904" t="s">
        <v>396</v>
      </c>
      <c r="C904" s="286">
        <v>42397.806458333333</v>
      </c>
      <c r="D904" t="s">
        <v>382</v>
      </c>
      <c r="E904">
        <v>0</v>
      </c>
      <c r="F904" s="287"/>
      <c r="G904" s="287"/>
      <c r="H904" s="287"/>
      <c r="I904" t="s">
        <v>382</v>
      </c>
      <c r="J904" t="s">
        <v>42</v>
      </c>
    </row>
    <row r="905" spans="1:10" x14ac:dyDescent="0.25">
      <c r="A905" t="s">
        <v>390</v>
      </c>
      <c r="C905" s="286">
        <v>42397.848692129628</v>
      </c>
      <c r="D905" t="s">
        <v>382</v>
      </c>
      <c r="E905">
        <v>0</v>
      </c>
      <c r="F905" s="287"/>
      <c r="G905" s="287"/>
      <c r="H905" s="287"/>
      <c r="I905" t="s">
        <v>382</v>
      </c>
      <c r="J905" t="s">
        <v>42</v>
      </c>
    </row>
    <row r="906" spans="1:10" x14ac:dyDescent="0.25">
      <c r="A906" t="s">
        <v>390</v>
      </c>
      <c r="C906" s="286">
        <v>42398.754270833335</v>
      </c>
      <c r="D906" t="s">
        <v>382</v>
      </c>
      <c r="E906">
        <v>0</v>
      </c>
      <c r="F906" s="287"/>
      <c r="G906" s="287"/>
      <c r="H906" s="287"/>
      <c r="I906" t="s">
        <v>382</v>
      </c>
      <c r="J906" t="s">
        <v>42</v>
      </c>
    </row>
    <row r="907" spans="1:10" x14ac:dyDescent="0.25">
      <c r="A907" t="s">
        <v>406</v>
      </c>
      <c r="C907" s="286">
        <v>42399.248333333337</v>
      </c>
      <c r="D907" t="s">
        <v>382</v>
      </c>
      <c r="E907">
        <v>0</v>
      </c>
      <c r="F907" s="287"/>
      <c r="G907" s="287"/>
      <c r="H907" s="287"/>
      <c r="I907" t="s">
        <v>382</v>
      </c>
      <c r="J907" t="s">
        <v>42</v>
      </c>
    </row>
    <row r="908" spans="1:10" x14ac:dyDescent="0.25">
      <c r="A908" t="s">
        <v>396</v>
      </c>
      <c r="C908" s="286">
        <v>42399.776979166665</v>
      </c>
      <c r="D908" t="s">
        <v>382</v>
      </c>
      <c r="E908">
        <v>0</v>
      </c>
      <c r="F908" s="287"/>
      <c r="G908" s="287"/>
      <c r="H908" s="287"/>
      <c r="I908" t="s">
        <v>382</v>
      </c>
      <c r="J908" t="s">
        <v>42</v>
      </c>
    </row>
    <row r="909" spans="1:10" x14ac:dyDescent="0.25">
      <c r="A909" t="s">
        <v>390</v>
      </c>
      <c r="C909" s="286">
        <v>42399.792939814812</v>
      </c>
      <c r="D909" t="s">
        <v>382</v>
      </c>
      <c r="E909">
        <v>0</v>
      </c>
      <c r="F909" s="287"/>
      <c r="G909" s="287"/>
      <c r="H909" s="287"/>
      <c r="I909" t="s">
        <v>382</v>
      </c>
      <c r="J909" t="s">
        <v>42</v>
      </c>
    </row>
    <row r="910" spans="1:10" x14ac:dyDescent="0.25">
      <c r="A910" t="s">
        <v>417</v>
      </c>
      <c r="C910" s="286">
        <v>42400.645243055558</v>
      </c>
      <c r="D910" t="s">
        <v>382</v>
      </c>
      <c r="E910">
        <v>0</v>
      </c>
      <c r="F910" s="287"/>
      <c r="G910" s="287"/>
      <c r="H910" s="287"/>
      <c r="I910" t="s">
        <v>382</v>
      </c>
      <c r="J910" t="s">
        <v>42</v>
      </c>
    </row>
    <row r="911" spans="1:10" x14ac:dyDescent="0.25">
      <c r="A911" t="s">
        <v>390</v>
      </c>
      <c r="C911" s="286">
        <v>42400.805138888885</v>
      </c>
      <c r="D911" t="s">
        <v>382</v>
      </c>
      <c r="E911">
        <v>0</v>
      </c>
      <c r="F911" s="287"/>
      <c r="G911" s="287"/>
      <c r="H911" s="287"/>
      <c r="I911" t="s">
        <v>382</v>
      </c>
      <c r="J911" t="s">
        <v>42</v>
      </c>
    </row>
    <row r="912" spans="1:10" x14ac:dyDescent="0.25">
      <c r="A912" t="s">
        <v>396</v>
      </c>
      <c r="C912" s="286">
        <v>42401.791886574072</v>
      </c>
      <c r="D912" t="s">
        <v>382</v>
      </c>
      <c r="E912">
        <v>0</v>
      </c>
      <c r="F912" s="287"/>
      <c r="G912" s="287"/>
      <c r="H912" s="287"/>
      <c r="I912" t="s">
        <v>382</v>
      </c>
      <c r="J912" t="s">
        <v>42</v>
      </c>
    </row>
    <row r="913" spans="1:10" x14ac:dyDescent="0.25">
      <c r="A913" t="s">
        <v>390</v>
      </c>
      <c r="C913" s="286">
        <v>42401.845416666663</v>
      </c>
      <c r="D913" t="s">
        <v>382</v>
      </c>
      <c r="E913">
        <v>0</v>
      </c>
      <c r="F913" s="287"/>
      <c r="G913" s="287"/>
      <c r="H913" s="287"/>
      <c r="I913" t="s">
        <v>382</v>
      </c>
      <c r="J913" t="s">
        <v>42</v>
      </c>
    </row>
    <row r="914" spans="1:10" x14ac:dyDescent="0.25">
      <c r="A914" t="s">
        <v>390</v>
      </c>
      <c r="C914" s="286">
        <v>42402.767106481479</v>
      </c>
      <c r="D914" t="s">
        <v>382</v>
      </c>
      <c r="E914">
        <v>0</v>
      </c>
      <c r="F914" s="287"/>
      <c r="G914" s="287"/>
      <c r="H914" s="287"/>
      <c r="I914" t="s">
        <v>382</v>
      </c>
      <c r="J914" t="s">
        <v>42</v>
      </c>
    </row>
    <row r="915" spans="1:10" x14ac:dyDescent="0.25">
      <c r="A915" t="s">
        <v>390</v>
      </c>
      <c r="C915" s="286">
        <v>42402.777233796296</v>
      </c>
      <c r="D915" t="s">
        <v>382</v>
      </c>
      <c r="E915">
        <v>0</v>
      </c>
      <c r="F915" s="287"/>
      <c r="G915" s="287"/>
      <c r="H915" s="287"/>
      <c r="I915" t="s">
        <v>382</v>
      </c>
      <c r="J915" t="s">
        <v>42</v>
      </c>
    </row>
    <row r="916" spans="1:10" x14ac:dyDescent="0.25">
      <c r="A916" t="s">
        <v>390</v>
      </c>
      <c r="C916" s="286">
        <v>42402.851018518515</v>
      </c>
      <c r="D916" t="s">
        <v>382</v>
      </c>
      <c r="E916">
        <v>0</v>
      </c>
      <c r="F916" s="287"/>
      <c r="G916" s="287"/>
      <c r="H916" s="287"/>
      <c r="I916" t="s">
        <v>382</v>
      </c>
      <c r="J916" t="s">
        <v>42</v>
      </c>
    </row>
    <row r="917" spans="1:10" x14ac:dyDescent="0.25">
      <c r="A917" t="s">
        <v>390</v>
      </c>
      <c r="C917" s="286">
        <v>42403.519212962965</v>
      </c>
      <c r="D917" t="s">
        <v>382</v>
      </c>
      <c r="E917">
        <v>0</v>
      </c>
      <c r="F917" s="287"/>
      <c r="G917" s="287"/>
      <c r="H917" s="287"/>
      <c r="I917" t="s">
        <v>382</v>
      </c>
      <c r="J917" t="s">
        <v>42</v>
      </c>
    </row>
    <row r="918" spans="1:10" x14ac:dyDescent="0.25">
      <c r="A918" t="s">
        <v>390</v>
      </c>
      <c r="C918" s="286">
        <v>42403.733414351853</v>
      </c>
      <c r="D918" t="s">
        <v>382</v>
      </c>
      <c r="E918">
        <v>0</v>
      </c>
      <c r="F918" s="287"/>
      <c r="G918" s="287"/>
      <c r="H918" s="287"/>
      <c r="I918" t="s">
        <v>382</v>
      </c>
      <c r="J918" t="s">
        <v>42</v>
      </c>
    </row>
    <row r="919" spans="1:10" x14ac:dyDescent="0.25">
      <c r="A919" t="s">
        <v>396</v>
      </c>
      <c r="C919" s="286">
        <v>42403.825624999998</v>
      </c>
      <c r="D919" t="s">
        <v>382</v>
      </c>
      <c r="E919">
        <v>0</v>
      </c>
      <c r="F919" s="287"/>
      <c r="G919" s="287"/>
      <c r="H919" s="287"/>
      <c r="I919" t="s">
        <v>382</v>
      </c>
      <c r="J919" t="s">
        <v>42</v>
      </c>
    </row>
    <row r="920" spans="1:10" x14ac:dyDescent="0.25">
      <c r="A920" t="s">
        <v>390</v>
      </c>
      <c r="C920" s="286">
        <v>42403.861030092594</v>
      </c>
      <c r="D920" t="s">
        <v>382</v>
      </c>
      <c r="E920">
        <v>0</v>
      </c>
      <c r="F920" s="287"/>
      <c r="G920" s="287"/>
      <c r="H920" s="287"/>
      <c r="I920" t="s">
        <v>382</v>
      </c>
      <c r="J920" t="s">
        <v>42</v>
      </c>
    </row>
    <row r="921" spans="1:10" x14ac:dyDescent="0.25">
      <c r="A921" t="s">
        <v>394</v>
      </c>
      <c r="C921" s="286">
        <v>42404.39266203704</v>
      </c>
      <c r="D921" t="s">
        <v>382</v>
      </c>
      <c r="E921">
        <v>0</v>
      </c>
      <c r="F921" s="287"/>
      <c r="G921" s="287"/>
      <c r="H921" s="287"/>
      <c r="I921" t="s">
        <v>382</v>
      </c>
      <c r="J921" t="s">
        <v>42</v>
      </c>
    </row>
    <row r="922" spans="1:10" x14ac:dyDescent="0.25">
      <c r="A922" t="s">
        <v>390</v>
      </c>
      <c r="C922" s="286">
        <v>42404.84516203704</v>
      </c>
      <c r="D922" t="s">
        <v>382</v>
      </c>
      <c r="E922">
        <v>0</v>
      </c>
      <c r="F922" s="287"/>
      <c r="G922" s="287"/>
      <c r="H922" s="287"/>
      <c r="I922" t="s">
        <v>382</v>
      </c>
      <c r="J922" t="s">
        <v>42</v>
      </c>
    </row>
    <row r="923" spans="1:10" x14ac:dyDescent="0.25">
      <c r="A923" t="s">
        <v>404</v>
      </c>
      <c r="C923" s="286">
        <v>42405.127754629626</v>
      </c>
      <c r="D923" t="s">
        <v>382</v>
      </c>
      <c r="E923">
        <v>0</v>
      </c>
      <c r="F923" s="287"/>
      <c r="G923" s="287"/>
      <c r="H923" s="287"/>
      <c r="I923" t="s">
        <v>382</v>
      </c>
      <c r="J923" t="s">
        <v>42</v>
      </c>
    </row>
    <row r="924" spans="1:10" x14ac:dyDescent="0.25">
      <c r="A924" t="s">
        <v>396</v>
      </c>
      <c r="C924" s="286">
        <v>42405.817291666666</v>
      </c>
      <c r="D924" t="s">
        <v>382</v>
      </c>
      <c r="E924">
        <v>0</v>
      </c>
      <c r="F924" s="287"/>
      <c r="G924" s="287"/>
      <c r="H924" s="287"/>
      <c r="I924" t="s">
        <v>382</v>
      </c>
      <c r="J924" t="s">
        <v>42</v>
      </c>
    </row>
    <row r="925" spans="1:10" x14ac:dyDescent="0.25">
      <c r="A925" t="s">
        <v>390</v>
      </c>
      <c r="C925" s="286">
        <v>42405.870868055557</v>
      </c>
      <c r="D925" t="s">
        <v>382</v>
      </c>
      <c r="E925">
        <v>0</v>
      </c>
      <c r="F925" s="287"/>
      <c r="G925" s="287"/>
      <c r="H925" s="287"/>
      <c r="I925" t="s">
        <v>382</v>
      </c>
      <c r="J925" t="s">
        <v>42</v>
      </c>
    </row>
    <row r="926" spans="1:10" x14ac:dyDescent="0.25">
      <c r="A926" t="s">
        <v>406</v>
      </c>
      <c r="C926" s="286">
        <v>42406.157199074078</v>
      </c>
      <c r="D926" t="s">
        <v>382</v>
      </c>
      <c r="E926">
        <v>0</v>
      </c>
      <c r="F926" s="287"/>
      <c r="G926" s="287"/>
      <c r="H926" s="287"/>
      <c r="I926" t="s">
        <v>382</v>
      </c>
      <c r="J926" t="s">
        <v>42</v>
      </c>
    </row>
    <row r="927" spans="1:10" x14ac:dyDescent="0.25">
      <c r="A927" t="s">
        <v>390</v>
      </c>
      <c r="C927" s="286">
        <v>42406.796249999999</v>
      </c>
      <c r="D927" t="s">
        <v>382</v>
      </c>
      <c r="E927">
        <v>0</v>
      </c>
      <c r="F927" s="287"/>
      <c r="G927" s="287"/>
      <c r="H927" s="287"/>
      <c r="I927" t="s">
        <v>382</v>
      </c>
      <c r="J927" t="s">
        <v>42</v>
      </c>
    </row>
    <row r="928" spans="1:10" x14ac:dyDescent="0.25">
      <c r="A928" t="s">
        <v>396</v>
      </c>
      <c r="C928" s="286">
        <v>42407.794270833336</v>
      </c>
      <c r="D928" t="s">
        <v>382</v>
      </c>
      <c r="E928">
        <v>0</v>
      </c>
      <c r="F928" s="287"/>
      <c r="G928" s="287"/>
      <c r="H928" s="287"/>
      <c r="I928" t="s">
        <v>382</v>
      </c>
      <c r="J928" t="s">
        <v>42</v>
      </c>
    </row>
    <row r="929" spans="1:10" x14ac:dyDescent="0.25">
      <c r="A929" t="s">
        <v>390</v>
      </c>
      <c r="C929" s="286">
        <v>42407.861122685186</v>
      </c>
      <c r="D929" t="s">
        <v>382</v>
      </c>
      <c r="E929">
        <v>0</v>
      </c>
      <c r="F929" s="287"/>
      <c r="G929" s="287"/>
      <c r="H929" s="287"/>
      <c r="I929" t="s">
        <v>382</v>
      </c>
      <c r="J929" t="s">
        <v>42</v>
      </c>
    </row>
    <row r="930" spans="1:10" x14ac:dyDescent="0.25">
      <c r="A930" t="s">
        <v>390</v>
      </c>
      <c r="C930" s="286">
        <v>42408.752789351849</v>
      </c>
      <c r="D930" t="s">
        <v>382</v>
      </c>
      <c r="E930">
        <v>0</v>
      </c>
      <c r="F930" s="287"/>
      <c r="G930" s="287"/>
      <c r="H930" s="287"/>
      <c r="I930" t="s">
        <v>382</v>
      </c>
      <c r="J930" t="s">
        <v>42</v>
      </c>
    </row>
    <row r="931" spans="1:10" x14ac:dyDescent="0.25">
      <c r="A931" t="s">
        <v>390</v>
      </c>
      <c r="C931" s="286">
        <v>42408.771782407406</v>
      </c>
      <c r="D931" t="s">
        <v>382</v>
      </c>
      <c r="E931">
        <v>0</v>
      </c>
      <c r="F931" s="287"/>
      <c r="G931" s="287"/>
      <c r="H931" s="287"/>
      <c r="I931" t="s">
        <v>382</v>
      </c>
      <c r="J931" t="s">
        <v>42</v>
      </c>
    </row>
    <row r="932" spans="1:10" x14ac:dyDescent="0.25">
      <c r="A932" t="s">
        <v>390</v>
      </c>
      <c r="C932" s="286">
        <v>42408.792766203704</v>
      </c>
      <c r="D932" t="s">
        <v>382</v>
      </c>
      <c r="E932">
        <v>0</v>
      </c>
      <c r="F932" s="287"/>
      <c r="G932" s="287"/>
      <c r="H932" s="287"/>
      <c r="I932" t="s">
        <v>382</v>
      </c>
      <c r="J932" t="s">
        <v>42</v>
      </c>
    </row>
    <row r="933" spans="1:10" x14ac:dyDescent="0.25">
      <c r="A933" t="s">
        <v>390</v>
      </c>
      <c r="C933" s="286">
        <v>42408.868090277778</v>
      </c>
      <c r="D933" t="s">
        <v>382</v>
      </c>
      <c r="E933">
        <v>0</v>
      </c>
      <c r="F933" s="287"/>
      <c r="G933" s="287"/>
      <c r="H933" s="287"/>
      <c r="I933" t="s">
        <v>382</v>
      </c>
      <c r="J933" t="s">
        <v>42</v>
      </c>
    </row>
    <row r="934" spans="1:10" x14ac:dyDescent="0.25">
      <c r="A934" t="s">
        <v>390</v>
      </c>
      <c r="C934" s="286">
        <v>42409.727372685185</v>
      </c>
      <c r="D934" t="s">
        <v>382</v>
      </c>
      <c r="E934">
        <v>0</v>
      </c>
      <c r="F934" s="287"/>
      <c r="G934" s="287"/>
      <c r="H934" s="287"/>
      <c r="I934" t="s">
        <v>382</v>
      </c>
      <c r="J934" t="s">
        <v>42</v>
      </c>
    </row>
    <row r="935" spans="1:10" x14ac:dyDescent="0.25">
      <c r="A935" t="s">
        <v>396</v>
      </c>
      <c r="C935" s="286">
        <v>42409.776180555556</v>
      </c>
      <c r="D935" t="s">
        <v>382</v>
      </c>
      <c r="E935">
        <v>0</v>
      </c>
      <c r="F935" s="287"/>
      <c r="G935" s="287"/>
      <c r="H935" s="287"/>
      <c r="I935" t="s">
        <v>382</v>
      </c>
      <c r="J935" t="s">
        <v>42</v>
      </c>
    </row>
    <row r="936" spans="1:10" x14ac:dyDescent="0.25">
      <c r="A936" t="s">
        <v>390</v>
      </c>
      <c r="C936" s="286">
        <v>42409.832187499997</v>
      </c>
      <c r="D936" t="s">
        <v>382</v>
      </c>
      <c r="E936">
        <v>0</v>
      </c>
      <c r="F936" s="287"/>
      <c r="G936" s="287"/>
      <c r="H936" s="287"/>
      <c r="I936" t="s">
        <v>382</v>
      </c>
      <c r="J936" t="s">
        <v>42</v>
      </c>
    </row>
    <row r="937" spans="1:10" x14ac:dyDescent="0.25">
      <c r="A937" t="s">
        <v>390</v>
      </c>
      <c r="C937" s="286">
        <v>42410.739560185182</v>
      </c>
      <c r="D937" t="s">
        <v>382</v>
      </c>
      <c r="E937">
        <v>0</v>
      </c>
      <c r="F937" s="287"/>
      <c r="G937" s="287"/>
      <c r="H937" s="287"/>
      <c r="I937" t="s">
        <v>382</v>
      </c>
      <c r="J937" t="s">
        <v>42</v>
      </c>
    </row>
    <row r="938" spans="1:10" x14ac:dyDescent="0.25">
      <c r="A938" t="s">
        <v>390</v>
      </c>
      <c r="C938" s="286">
        <v>42410.77134259259</v>
      </c>
      <c r="D938" t="s">
        <v>382</v>
      </c>
      <c r="E938">
        <v>0</v>
      </c>
      <c r="F938" s="287"/>
      <c r="G938" s="287"/>
      <c r="H938" s="287"/>
      <c r="I938" t="s">
        <v>382</v>
      </c>
      <c r="J938" t="s">
        <v>42</v>
      </c>
    </row>
    <row r="939" spans="1:10" x14ac:dyDescent="0.25">
      <c r="A939" t="s">
        <v>390</v>
      </c>
      <c r="C939" s="286">
        <v>42410.839224537034</v>
      </c>
      <c r="D939" t="s">
        <v>382</v>
      </c>
      <c r="E939">
        <v>0</v>
      </c>
      <c r="F939" s="287"/>
      <c r="G939" s="287"/>
      <c r="H939" s="287"/>
      <c r="I939" t="s">
        <v>382</v>
      </c>
      <c r="J939" t="s">
        <v>42</v>
      </c>
    </row>
    <row r="940" spans="1:10" x14ac:dyDescent="0.25">
      <c r="A940" t="s">
        <v>396</v>
      </c>
      <c r="C940" s="286">
        <v>42411.770613425928</v>
      </c>
      <c r="D940" t="s">
        <v>382</v>
      </c>
      <c r="E940">
        <v>0</v>
      </c>
      <c r="F940" s="287"/>
      <c r="G940" s="287"/>
      <c r="H940" s="287"/>
      <c r="I940" t="s">
        <v>382</v>
      </c>
      <c r="J940" t="s">
        <v>42</v>
      </c>
    </row>
    <row r="941" spans="1:10" x14ac:dyDescent="0.25">
      <c r="A941" t="s">
        <v>390</v>
      </c>
      <c r="C941" s="286">
        <v>42411.803715277776</v>
      </c>
      <c r="D941" t="s">
        <v>382</v>
      </c>
      <c r="E941">
        <v>0</v>
      </c>
      <c r="F941" s="287"/>
      <c r="G941" s="287"/>
      <c r="H941" s="287"/>
      <c r="I941" t="s">
        <v>382</v>
      </c>
      <c r="J941" t="s">
        <v>42</v>
      </c>
    </row>
    <row r="942" spans="1:10" x14ac:dyDescent="0.25">
      <c r="A942" t="s">
        <v>390</v>
      </c>
      <c r="C942" s="286">
        <v>42411.854456018518</v>
      </c>
      <c r="D942" t="s">
        <v>382</v>
      </c>
      <c r="E942">
        <v>0</v>
      </c>
      <c r="F942" s="287"/>
      <c r="G942" s="287"/>
      <c r="H942" s="287"/>
      <c r="I942" t="s">
        <v>382</v>
      </c>
      <c r="J942" t="s">
        <v>42</v>
      </c>
    </row>
    <row r="943" spans="1:10" x14ac:dyDescent="0.25">
      <c r="A943" t="s">
        <v>390</v>
      </c>
      <c r="C943" s="286">
        <v>42412.771168981482</v>
      </c>
      <c r="D943" t="s">
        <v>382</v>
      </c>
      <c r="E943">
        <v>0</v>
      </c>
      <c r="F943" s="287"/>
      <c r="G943" s="287"/>
      <c r="H943" s="287"/>
      <c r="I943" t="s">
        <v>382</v>
      </c>
      <c r="J943" t="s">
        <v>42</v>
      </c>
    </row>
    <row r="944" spans="1:10" x14ac:dyDescent="0.25">
      <c r="A944" t="s">
        <v>390</v>
      </c>
      <c r="C944" s="286">
        <v>42412.800706018519</v>
      </c>
      <c r="D944" t="s">
        <v>382</v>
      </c>
      <c r="E944">
        <v>0</v>
      </c>
      <c r="F944" s="287"/>
      <c r="G944" s="287"/>
      <c r="H944" s="287"/>
      <c r="I944" t="s">
        <v>382</v>
      </c>
      <c r="J944" t="s">
        <v>42</v>
      </c>
    </row>
    <row r="945" spans="1:10" x14ac:dyDescent="0.25">
      <c r="A945" t="s">
        <v>406</v>
      </c>
      <c r="C945" s="286">
        <v>42413.104618055557</v>
      </c>
      <c r="D945" t="s">
        <v>382</v>
      </c>
      <c r="E945">
        <v>0</v>
      </c>
      <c r="F945" s="287"/>
      <c r="G945" s="287"/>
      <c r="H945" s="287"/>
      <c r="I945" t="s">
        <v>382</v>
      </c>
      <c r="J945" t="s">
        <v>42</v>
      </c>
    </row>
    <row r="946" spans="1:10" x14ac:dyDescent="0.25">
      <c r="A946" t="s">
        <v>396</v>
      </c>
      <c r="C946" s="286">
        <v>42413.80878472222</v>
      </c>
      <c r="D946" t="s">
        <v>382</v>
      </c>
      <c r="E946">
        <v>0</v>
      </c>
      <c r="F946" s="287"/>
      <c r="G946" s="287"/>
      <c r="H946" s="287"/>
      <c r="I946" t="s">
        <v>382</v>
      </c>
      <c r="J946" t="s">
        <v>42</v>
      </c>
    </row>
    <row r="947" spans="1:10" x14ac:dyDescent="0.25">
      <c r="A947" t="s">
        <v>390</v>
      </c>
      <c r="C947" s="286">
        <v>42413.846458333333</v>
      </c>
      <c r="D947" t="s">
        <v>382</v>
      </c>
      <c r="E947">
        <v>0</v>
      </c>
      <c r="F947" s="287"/>
      <c r="G947" s="287"/>
      <c r="H947" s="287"/>
      <c r="I947" t="s">
        <v>382</v>
      </c>
      <c r="J947" t="s">
        <v>42</v>
      </c>
    </row>
    <row r="948" spans="1:10" x14ac:dyDescent="0.25">
      <c r="A948" t="s">
        <v>403</v>
      </c>
      <c r="C948" s="286">
        <v>42414.50885416667</v>
      </c>
      <c r="D948" t="s">
        <v>382</v>
      </c>
      <c r="E948">
        <v>0</v>
      </c>
      <c r="F948" s="287"/>
      <c r="G948" s="287"/>
      <c r="H948" s="287"/>
      <c r="I948" t="s">
        <v>382</v>
      </c>
      <c r="J948" t="s">
        <v>42</v>
      </c>
    </row>
    <row r="949" spans="1:10" x14ac:dyDescent="0.25">
      <c r="A949" t="s">
        <v>390</v>
      </c>
      <c r="C949" s="286">
        <v>42415.72216435185</v>
      </c>
      <c r="D949" t="s">
        <v>382</v>
      </c>
      <c r="E949">
        <v>0</v>
      </c>
      <c r="F949" s="287"/>
      <c r="G949" s="287"/>
      <c r="H949" s="287"/>
      <c r="I949" t="s">
        <v>382</v>
      </c>
      <c r="J949" t="s">
        <v>42</v>
      </c>
    </row>
    <row r="950" spans="1:10" x14ac:dyDescent="0.25">
      <c r="A950" t="s">
        <v>390</v>
      </c>
      <c r="C950" s="286">
        <v>42415.773043981484</v>
      </c>
      <c r="D950" t="s">
        <v>382</v>
      </c>
      <c r="E950">
        <v>0</v>
      </c>
      <c r="F950" s="287"/>
      <c r="G950" s="287"/>
      <c r="H950" s="287"/>
      <c r="I950" t="s">
        <v>382</v>
      </c>
      <c r="J950" t="s">
        <v>42</v>
      </c>
    </row>
    <row r="951" spans="1:10" x14ac:dyDescent="0.25">
      <c r="A951" t="s">
        <v>396</v>
      </c>
      <c r="C951" s="286">
        <v>42415.812476851854</v>
      </c>
      <c r="D951" t="s">
        <v>382</v>
      </c>
      <c r="E951">
        <v>0</v>
      </c>
      <c r="F951" s="287"/>
      <c r="G951" s="287"/>
      <c r="H951" s="287"/>
      <c r="I951" t="s">
        <v>382</v>
      </c>
      <c r="J951" t="s">
        <v>42</v>
      </c>
    </row>
    <row r="952" spans="1:10" x14ac:dyDescent="0.25">
      <c r="A952" t="s">
        <v>390</v>
      </c>
      <c r="C952" s="286">
        <v>42415.862291666665</v>
      </c>
      <c r="D952" t="s">
        <v>382</v>
      </c>
      <c r="E952">
        <v>0</v>
      </c>
      <c r="F952" s="287"/>
      <c r="G952" s="287"/>
      <c r="H952" s="287"/>
      <c r="I952" t="s">
        <v>382</v>
      </c>
      <c r="J952" t="s">
        <v>42</v>
      </c>
    </row>
    <row r="953" spans="1:10" x14ac:dyDescent="0.25">
      <c r="A953" t="s">
        <v>390</v>
      </c>
      <c r="C953" s="286">
        <v>42416.766631944447</v>
      </c>
      <c r="D953" t="s">
        <v>382</v>
      </c>
      <c r="E953">
        <v>0</v>
      </c>
      <c r="F953" s="287"/>
      <c r="G953" s="287"/>
      <c r="H953" s="287"/>
      <c r="I953" t="s">
        <v>382</v>
      </c>
      <c r="J953" t="s">
        <v>42</v>
      </c>
    </row>
    <row r="954" spans="1:10" x14ac:dyDescent="0.25">
      <c r="A954" t="s">
        <v>390</v>
      </c>
      <c r="C954" s="286">
        <v>42417.452708333331</v>
      </c>
      <c r="D954" t="s">
        <v>382</v>
      </c>
      <c r="E954">
        <v>0</v>
      </c>
      <c r="F954" s="287"/>
      <c r="G954" s="287"/>
      <c r="H954" s="287"/>
      <c r="I954" t="s">
        <v>382</v>
      </c>
      <c r="J954" t="s">
        <v>42</v>
      </c>
    </row>
    <row r="955" spans="1:10" x14ac:dyDescent="0.25">
      <c r="A955" t="s">
        <v>390</v>
      </c>
      <c r="C955" s="286">
        <v>42417.717002314814</v>
      </c>
      <c r="D955" t="s">
        <v>382</v>
      </c>
      <c r="E955">
        <v>0</v>
      </c>
      <c r="F955" s="287"/>
      <c r="G955" s="287"/>
      <c r="H955" s="287"/>
      <c r="I955" t="s">
        <v>382</v>
      </c>
      <c r="J955" t="s">
        <v>42</v>
      </c>
    </row>
    <row r="956" spans="1:10" x14ac:dyDescent="0.25">
      <c r="A956" t="s">
        <v>396</v>
      </c>
      <c r="C956" s="286">
        <v>42417.807326388887</v>
      </c>
      <c r="D956" t="s">
        <v>382</v>
      </c>
      <c r="E956">
        <v>0</v>
      </c>
      <c r="F956" s="287"/>
      <c r="G956" s="287"/>
      <c r="H956" s="287"/>
      <c r="I956" t="s">
        <v>382</v>
      </c>
      <c r="J956" t="s">
        <v>42</v>
      </c>
    </row>
    <row r="957" spans="1:10" x14ac:dyDescent="0.25">
      <c r="A957" t="s">
        <v>390</v>
      </c>
      <c r="C957" s="286">
        <v>42417.845370370371</v>
      </c>
      <c r="D957" t="s">
        <v>382</v>
      </c>
      <c r="E957">
        <v>0</v>
      </c>
      <c r="F957" s="287"/>
      <c r="G957" s="287"/>
      <c r="H957" s="287"/>
      <c r="I957" t="s">
        <v>382</v>
      </c>
      <c r="J957" t="s">
        <v>42</v>
      </c>
    </row>
    <row r="958" spans="1:10" x14ac:dyDescent="0.25">
      <c r="A958" t="s">
        <v>416</v>
      </c>
      <c r="C958" s="286">
        <v>42419.721087962964</v>
      </c>
      <c r="D958" t="s">
        <v>382</v>
      </c>
      <c r="E958">
        <v>0</v>
      </c>
      <c r="F958" s="287"/>
      <c r="G958" s="287"/>
      <c r="H958" s="287"/>
      <c r="I958" t="s">
        <v>382</v>
      </c>
      <c r="J958" t="s">
        <v>42</v>
      </c>
    </row>
    <row r="959" spans="1:10" x14ac:dyDescent="0.25">
      <c r="A959" t="s">
        <v>416</v>
      </c>
      <c r="C959" s="286">
        <v>42419.721250000002</v>
      </c>
      <c r="D959" t="s">
        <v>382</v>
      </c>
      <c r="E959">
        <v>0</v>
      </c>
      <c r="F959" s="287"/>
      <c r="G959" s="287"/>
      <c r="H959" s="287"/>
      <c r="I959" t="s">
        <v>382</v>
      </c>
      <c r="J959" t="s">
        <v>42</v>
      </c>
    </row>
    <row r="960" spans="1:10" x14ac:dyDescent="0.25">
      <c r="A960" t="s">
        <v>416</v>
      </c>
      <c r="C960" s="286">
        <v>42419.721597222226</v>
      </c>
      <c r="D960" t="s">
        <v>382</v>
      </c>
      <c r="E960">
        <v>0</v>
      </c>
      <c r="F960" s="287"/>
      <c r="G960" s="287"/>
      <c r="H960" s="287"/>
      <c r="I960" t="s">
        <v>382</v>
      </c>
      <c r="J960" t="s">
        <v>42</v>
      </c>
    </row>
    <row r="961" spans="1:10" x14ac:dyDescent="0.25">
      <c r="A961" t="s">
        <v>416</v>
      </c>
      <c r="C961" s="286">
        <v>42419.721736111111</v>
      </c>
      <c r="D961" t="s">
        <v>382</v>
      </c>
      <c r="E961">
        <v>0</v>
      </c>
      <c r="F961" s="287"/>
      <c r="G961" s="287"/>
      <c r="H961" s="287"/>
      <c r="I961" t="s">
        <v>382</v>
      </c>
      <c r="J961" t="s">
        <v>42</v>
      </c>
    </row>
    <row r="962" spans="1:10" x14ac:dyDescent="0.25">
      <c r="A962" t="s">
        <v>416</v>
      </c>
      <c r="C962" s="286">
        <v>42419.722418981481</v>
      </c>
      <c r="D962" t="s">
        <v>382</v>
      </c>
      <c r="E962">
        <v>0</v>
      </c>
      <c r="F962" s="287"/>
      <c r="G962" s="287"/>
      <c r="H962" s="287"/>
      <c r="I962" t="s">
        <v>382</v>
      </c>
      <c r="J962" t="s">
        <v>42</v>
      </c>
    </row>
    <row r="963" spans="1:10" x14ac:dyDescent="0.25">
      <c r="A963" t="s">
        <v>388</v>
      </c>
      <c r="C963" s="286">
        <v>42419.722534722219</v>
      </c>
      <c r="D963" t="s">
        <v>382</v>
      </c>
      <c r="E963">
        <v>0</v>
      </c>
      <c r="F963" s="287"/>
      <c r="G963" s="287"/>
      <c r="H963" s="287"/>
      <c r="I963" t="s">
        <v>382</v>
      </c>
      <c r="J963" t="s">
        <v>42</v>
      </c>
    </row>
    <row r="964" spans="1:10" x14ac:dyDescent="0.25">
      <c r="A964" t="s">
        <v>416</v>
      </c>
      <c r="C964" s="286">
        <v>42419.722916666666</v>
      </c>
      <c r="D964" t="s">
        <v>382</v>
      </c>
      <c r="E964">
        <v>0</v>
      </c>
      <c r="F964" s="287"/>
      <c r="G964" s="287"/>
      <c r="H964" s="287"/>
      <c r="I964" t="s">
        <v>382</v>
      </c>
      <c r="J964" t="s">
        <v>42</v>
      </c>
    </row>
    <row r="965" spans="1:10" x14ac:dyDescent="0.25">
      <c r="A965" t="s">
        <v>416</v>
      </c>
      <c r="C965" s="286">
        <v>42419.723449074074</v>
      </c>
      <c r="D965" t="s">
        <v>382</v>
      </c>
      <c r="E965">
        <v>0</v>
      </c>
      <c r="F965" s="287"/>
      <c r="G965" s="287"/>
      <c r="H965" s="287"/>
      <c r="I965" t="s">
        <v>382</v>
      </c>
      <c r="J965" t="s">
        <v>42</v>
      </c>
    </row>
    <row r="966" spans="1:10" x14ac:dyDescent="0.25">
      <c r="A966" t="s">
        <v>416</v>
      </c>
      <c r="C966" s="286">
        <v>42419.723576388889</v>
      </c>
      <c r="D966" t="s">
        <v>382</v>
      </c>
      <c r="E966">
        <v>0</v>
      </c>
      <c r="F966" s="287"/>
      <c r="G966" s="287"/>
      <c r="H966" s="287"/>
      <c r="I966" t="s">
        <v>382</v>
      </c>
      <c r="J966" t="s">
        <v>42</v>
      </c>
    </row>
    <row r="967" spans="1:10" x14ac:dyDescent="0.25">
      <c r="A967" t="s">
        <v>416</v>
      </c>
      <c r="C967" s="286">
        <v>42419.723738425928</v>
      </c>
      <c r="D967" t="s">
        <v>382</v>
      </c>
      <c r="E967">
        <v>0</v>
      </c>
      <c r="F967" s="287"/>
      <c r="G967" s="287"/>
      <c r="H967" s="287"/>
      <c r="I967" t="s">
        <v>382</v>
      </c>
      <c r="J967" t="s">
        <v>42</v>
      </c>
    </row>
    <row r="968" spans="1:10" x14ac:dyDescent="0.25">
      <c r="A968" t="s">
        <v>390</v>
      </c>
      <c r="C968" s="286">
        <v>42419.739201388889</v>
      </c>
      <c r="D968" t="s">
        <v>382</v>
      </c>
      <c r="E968">
        <v>0</v>
      </c>
      <c r="F968" s="287"/>
      <c r="G968" s="287"/>
      <c r="H968" s="287"/>
      <c r="I968" t="s">
        <v>382</v>
      </c>
      <c r="J968" t="s">
        <v>42</v>
      </c>
    </row>
    <row r="969" spans="1:10" x14ac:dyDescent="0.25">
      <c r="A969" t="s">
        <v>396</v>
      </c>
      <c r="C969" s="286">
        <v>42419.792939814812</v>
      </c>
      <c r="D969" t="s">
        <v>382</v>
      </c>
      <c r="E969">
        <v>0</v>
      </c>
      <c r="F969" s="287"/>
      <c r="G969" s="287"/>
      <c r="H969" s="287"/>
      <c r="I969" t="s">
        <v>382</v>
      </c>
      <c r="J969" t="s">
        <v>42</v>
      </c>
    </row>
    <row r="970" spans="1:10" x14ac:dyDescent="0.25">
      <c r="A970" t="s">
        <v>390</v>
      </c>
      <c r="C970" s="286">
        <v>42419.871504629627</v>
      </c>
      <c r="D970" t="s">
        <v>382</v>
      </c>
      <c r="E970">
        <v>0</v>
      </c>
      <c r="F970" s="287"/>
      <c r="G970" s="287"/>
      <c r="H970" s="287"/>
      <c r="I970" t="s">
        <v>382</v>
      </c>
      <c r="J970" t="s">
        <v>42</v>
      </c>
    </row>
    <row r="971" spans="1:10" x14ac:dyDescent="0.25">
      <c r="A971" t="s">
        <v>390</v>
      </c>
      <c r="C971" s="286">
        <v>42420.84516203704</v>
      </c>
      <c r="D971" t="s">
        <v>382</v>
      </c>
      <c r="E971">
        <v>0</v>
      </c>
      <c r="F971" s="287"/>
      <c r="G971" s="287"/>
      <c r="H971" s="287"/>
      <c r="I971" t="s">
        <v>382</v>
      </c>
      <c r="J971" t="s">
        <v>42</v>
      </c>
    </row>
    <row r="972" spans="1:10" x14ac:dyDescent="0.25">
      <c r="A972" t="s">
        <v>406</v>
      </c>
      <c r="C972" s="286">
        <v>42420.899664351855</v>
      </c>
      <c r="D972" t="s">
        <v>382</v>
      </c>
      <c r="E972">
        <v>0</v>
      </c>
      <c r="F972" s="287"/>
      <c r="G972" s="287"/>
      <c r="H972" s="287"/>
      <c r="I972" t="s">
        <v>382</v>
      </c>
      <c r="J972" t="s">
        <v>42</v>
      </c>
    </row>
    <row r="973" spans="1:10" x14ac:dyDescent="0.25">
      <c r="A973" t="s">
        <v>390</v>
      </c>
      <c r="C973" s="286">
        <v>42421.792037037034</v>
      </c>
      <c r="D973" t="s">
        <v>382</v>
      </c>
      <c r="E973">
        <v>0</v>
      </c>
      <c r="F973" s="287"/>
      <c r="G973" s="287"/>
      <c r="H973" s="287"/>
      <c r="I973" t="s">
        <v>382</v>
      </c>
      <c r="J973" t="s">
        <v>42</v>
      </c>
    </row>
    <row r="974" spans="1:10" x14ac:dyDescent="0.25">
      <c r="A974" t="s">
        <v>396</v>
      </c>
      <c r="C974" s="286">
        <v>42421.810925925929</v>
      </c>
      <c r="D974" t="s">
        <v>382</v>
      </c>
      <c r="E974">
        <v>0</v>
      </c>
      <c r="F974" s="287"/>
      <c r="G974" s="287"/>
      <c r="H974" s="287"/>
      <c r="I974" t="s">
        <v>382</v>
      </c>
      <c r="J974" t="s">
        <v>42</v>
      </c>
    </row>
    <row r="975" spans="1:10" x14ac:dyDescent="0.25">
      <c r="A975" t="s">
        <v>390</v>
      </c>
      <c r="C975" s="286">
        <v>42422.834050925929</v>
      </c>
      <c r="D975" t="s">
        <v>382</v>
      </c>
      <c r="E975">
        <v>0</v>
      </c>
      <c r="F975" s="287"/>
      <c r="G975" s="287"/>
      <c r="H975" s="287"/>
      <c r="I975" t="s">
        <v>382</v>
      </c>
      <c r="J975" t="s">
        <v>42</v>
      </c>
    </row>
    <row r="976" spans="1:10" x14ac:dyDescent="0.25">
      <c r="A976" t="s">
        <v>396</v>
      </c>
      <c r="C976" s="286">
        <v>42423.508125</v>
      </c>
      <c r="D976" t="s">
        <v>382</v>
      </c>
      <c r="E976">
        <v>0</v>
      </c>
      <c r="F976" s="287"/>
      <c r="G976" s="287"/>
      <c r="H976" s="287"/>
      <c r="I976" t="s">
        <v>382</v>
      </c>
      <c r="J976" t="s">
        <v>42</v>
      </c>
    </row>
    <row r="977" spans="1:10" x14ac:dyDescent="0.25">
      <c r="A977" t="s">
        <v>390</v>
      </c>
      <c r="C977" s="286">
        <v>42423.763564814813</v>
      </c>
      <c r="D977" t="s">
        <v>382</v>
      </c>
      <c r="E977">
        <v>0</v>
      </c>
      <c r="F977" s="287"/>
      <c r="G977" s="287"/>
      <c r="H977" s="287"/>
      <c r="I977" t="s">
        <v>382</v>
      </c>
      <c r="J977" t="s">
        <v>42</v>
      </c>
    </row>
    <row r="978" spans="1:10" x14ac:dyDescent="0.25">
      <c r="A978" t="s">
        <v>396</v>
      </c>
      <c r="C978" s="286">
        <v>42423.777083333334</v>
      </c>
      <c r="D978" t="s">
        <v>382</v>
      </c>
      <c r="E978">
        <v>0</v>
      </c>
      <c r="F978" s="287"/>
      <c r="G978" s="287"/>
      <c r="H978" s="287"/>
      <c r="I978" t="s">
        <v>382</v>
      </c>
      <c r="J978" t="s">
        <v>42</v>
      </c>
    </row>
    <row r="979" spans="1:10" x14ac:dyDescent="0.25">
      <c r="A979" t="s">
        <v>390</v>
      </c>
      <c r="C979" s="286">
        <v>42423.870752314811</v>
      </c>
      <c r="D979" t="s">
        <v>382</v>
      </c>
      <c r="E979">
        <v>0</v>
      </c>
      <c r="F979" s="287"/>
      <c r="G979" s="287"/>
      <c r="H979" s="287"/>
      <c r="I979" t="s">
        <v>382</v>
      </c>
      <c r="J979" t="s">
        <v>42</v>
      </c>
    </row>
    <row r="980" spans="1:10" x14ac:dyDescent="0.25">
      <c r="A980" t="s">
        <v>390</v>
      </c>
      <c r="C980" s="286">
        <v>42424.722731481481</v>
      </c>
      <c r="D980" t="s">
        <v>382</v>
      </c>
      <c r="E980">
        <v>0</v>
      </c>
      <c r="F980" s="287"/>
      <c r="G980" s="287"/>
      <c r="H980" s="287"/>
      <c r="I980" t="s">
        <v>382</v>
      </c>
      <c r="J980" t="s">
        <v>42</v>
      </c>
    </row>
    <row r="981" spans="1:10" x14ac:dyDescent="0.25">
      <c r="A981" t="s">
        <v>390</v>
      </c>
      <c r="C981" s="286">
        <v>42424.875601851854</v>
      </c>
      <c r="D981" t="s">
        <v>382</v>
      </c>
      <c r="E981">
        <v>0</v>
      </c>
      <c r="F981" s="287"/>
      <c r="G981" s="287"/>
      <c r="H981" s="287"/>
      <c r="I981" t="s">
        <v>382</v>
      </c>
      <c r="J981" t="s">
        <v>42</v>
      </c>
    </row>
    <row r="982" spans="1:10" x14ac:dyDescent="0.25">
      <c r="A982" t="s">
        <v>390</v>
      </c>
      <c r="C982" s="286">
        <v>42425.133449074077</v>
      </c>
      <c r="D982" t="s">
        <v>382</v>
      </c>
      <c r="E982">
        <v>0</v>
      </c>
      <c r="F982" s="287"/>
      <c r="G982" s="287"/>
      <c r="H982" s="287"/>
      <c r="I982" t="s">
        <v>382</v>
      </c>
      <c r="J982" t="s">
        <v>42</v>
      </c>
    </row>
    <row r="983" spans="1:10" x14ac:dyDescent="0.25">
      <c r="A983" t="s">
        <v>390</v>
      </c>
      <c r="C983" s="286">
        <v>42425.773009259261</v>
      </c>
      <c r="D983" t="s">
        <v>382</v>
      </c>
      <c r="E983">
        <v>0</v>
      </c>
      <c r="F983" s="287"/>
      <c r="G983" s="287"/>
      <c r="H983" s="287"/>
      <c r="I983" t="s">
        <v>382</v>
      </c>
      <c r="J983" t="s">
        <v>42</v>
      </c>
    </row>
    <row r="984" spans="1:10" x14ac:dyDescent="0.25">
      <c r="A984" t="s">
        <v>396</v>
      </c>
      <c r="C984" s="286">
        <v>42425.785543981481</v>
      </c>
      <c r="D984" t="s">
        <v>382</v>
      </c>
      <c r="E984">
        <v>0</v>
      </c>
      <c r="F984" s="287"/>
      <c r="G984" s="287"/>
      <c r="H984" s="287"/>
      <c r="I984" t="s">
        <v>382</v>
      </c>
      <c r="J984" t="s">
        <v>42</v>
      </c>
    </row>
    <row r="985" spans="1:10" x14ac:dyDescent="0.25">
      <c r="A985" t="s">
        <v>390</v>
      </c>
      <c r="C985" s="286">
        <v>42425.810856481483</v>
      </c>
      <c r="D985" t="s">
        <v>382</v>
      </c>
      <c r="E985">
        <v>0</v>
      </c>
      <c r="F985" s="287"/>
      <c r="G985" s="287"/>
      <c r="H985" s="287"/>
      <c r="I985" t="s">
        <v>382</v>
      </c>
      <c r="J985" t="s">
        <v>42</v>
      </c>
    </row>
    <row r="986" spans="1:10" x14ac:dyDescent="0.25">
      <c r="A986" t="s">
        <v>390</v>
      </c>
      <c r="C986" s="286">
        <v>42426.763749999998</v>
      </c>
      <c r="D986" t="s">
        <v>382</v>
      </c>
      <c r="E986">
        <v>0</v>
      </c>
      <c r="F986" s="287"/>
      <c r="G986" s="287"/>
      <c r="H986" s="287"/>
      <c r="I986" t="s">
        <v>382</v>
      </c>
      <c r="J986" t="s">
        <v>42</v>
      </c>
    </row>
    <row r="987" spans="1:10" x14ac:dyDescent="0.25">
      <c r="A987" t="s">
        <v>406</v>
      </c>
      <c r="C987" s="286">
        <v>42427.145381944443</v>
      </c>
      <c r="D987" t="s">
        <v>382</v>
      </c>
      <c r="E987">
        <v>0</v>
      </c>
      <c r="F987" s="287"/>
      <c r="G987" s="287"/>
      <c r="H987" s="287"/>
      <c r="I987" t="s">
        <v>382</v>
      </c>
      <c r="J987" t="s">
        <v>42</v>
      </c>
    </row>
    <row r="988" spans="1:10" x14ac:dyDescent="0.25">
      <c r="A988" t="s">
        <v>396</v>
      </c>
      <c r="C988" s="286">
        <v>42427.770358796297</v>
      </c>
      <c r="D988" t="s">
        <v>382</v>
      </c>
      <c r="E988">
        <v>0</v>
      </c>
      <c r="F988" s="287"/>
      <c r="G988" s="287"/>
      <c r="H988" s="287"/>
      <c r="I988" t="s">
        <v>382</v>
      </c>
      <c r="J988" t="s">
        <v>42</v>
      </c>
    </row>
    <row r="989" spans="1:10" x14ac:dyDescent="0.25">
      <c r="A989" t="s">
        <v>390</v>
      </c>
      <c r="C989" s="286">
        <v>42427.791493055556</v>
      </c>
      <c r="D989" t="s">
        <v>382</v>
      </c>
      <c r="E989">
        <v>0</v>
      </c>
      <c r="F989" s="287"/>
      <c r="G989" s="287"/>
      <c r="H989" s="287"/>
      <c r="I989" t="s">
        <v>382</v>
      </c>
      <c r="J989" t="s">
        <v>42</v>
      </c>
    </row>
    <row r="990" spans="1:10" x14ac:dyDescent="0.25">
      <c r="A990" t="s">
        <v>396</v>
      </c>
      <c r="C990" s="286">
        <v>42428.311064814814</v>
      </c>
      <c r="D990" t="s">
        <v>382</v>
      </c>
      <c r="E990">
        <v>0</v>
      </c>
      <c r="F990" s="287"/>
      <c r="G990" s="287"/>
      <c r="H990" s="287"/>
      <c r="I990" t="s">
        <v>382</v>
      </c>
      <c r="J990" t="s">
        <v>42</v>
      </c>
    </row>
    <row r="991" spans="1:10" x14ac:dyDescent="0.25">
      <c r="A991" t="s">
        <v>390</v>
      </c>
      <c r="C991" s="286">
        <v>42429.78465277778</v>
      </c>
      <c r="D991" t="s">
        <v>382</v>
      </c>
      <c r="E991">
        <v>0</v>
      </c>
      <c r="F991" s="287"/>
      <c r="G991" s="287"/>
      <c r="H991" s="287"/>
      <c r="I991" t="s">
        <v>382</v>
      </c>
      <c r="J991" t="s">
        <v>42</v>
      </c>
    </row>
    <row r="992" spans="1:10" x14ac:dyDescent="0.25">
      <c r="A992" t="s">
        <v>396</v>
      </c>
      <c r="C992" s="286">
        <v>42429.799375000002</v>
      </c>
      <c r="D992" t="s">
        <v>382</v>
      </c>
      <c r="E992">
        <v>0</v>
      </c>
      <c r="F992" s="287"/>
      <c r="G992" s="287"/>
      <c r="H992" s="287"/>
      <c r="I992" t="s">
        <v>382</v>
      </c>
      <c r="J992" t="s">
        <v>42</v>
      </c>
    </row>
    <row r="993" spans="1:10" x14ac:dyDescent="0.25">
      <c r="A993" t="s">
        <v>407</v>
      </c>
      <c r="C993" s="286">
        <v>42429.883946759262</v>
      </c>
      <c r="D993" t="s">
        <v>382</v>
      </c>
      <c r="E993">
        <v>0</v>
      </c>
      <c r="F993" s="287"/>
      <c r="G993" s="287"/>
      <c r="H993" s="287"/>
      <c r="I993" t="s">
        <v>382</v>
      </c>
      <c r="J993" t="s">
        <v>42</v>
      </c>
    </row>
    <row r="994" spans="1:10" x14ac:dyDescent="0.25">
      <c r="A994" t="s">
        <v>410</v>
      </c>
      <c r="C994" s="286">
        <v>42429.884201388886</v>
      </c>
      <c r="D994" t="s">
        <v>382</v>
      </c>
      <c r="E994">
        <v>0</v>
      </c>
      <c r="F994" s="287"/>
      <c r="G994" s="287"/>
      <c r="H994" s="287"/>
      <c r="I994" t="s">
        <v>382</v>
      </c>
      <c r="J994" t="s">
        <v>42</v>
      </c>
    </row>
    <row r="995" spans="1:10" x14ac:dyDescent="0.25">
      <c r="A995" t="s">
        <v>407</v>
      </c>
      <c r="C995" s="286">
        <v>42429.89025462963</v>
      </c>
      <c r="D995" t="s">
        <v>382</v>
      </c>
      <c r="E995">
        <v>0</v>
      </c>
      <c r="F995" s="287"/>
      <c r="G995" s="287"/>
      <c r="H995" s="287"/>
      <c r="I995" t="s">
        <v>382</v>
      </c>
      <c r="J995" t="s">
        <v>42</v>
      </c>
    </row>
    <row r="996" spans="1:10" x14ac:dyDescent="0.25">
      <c r="A996" t="s">
        <v>407</v>
      </c>
      <c r="C996" s="286">
        <v>42429.894814814812</v>
      </c>
      <c r="D996" t="s">
        <v>382</v>
      </c>
      <c r="E996">
        <v>0</v>
      </c>
      <c r="F996" s="287"/>
      <c r="G996" s="287"/>
      <c r="H996" s="287"/>
      <c r="I996" t="s">
        <v>382</v>
      </c>
      <c r="J996" t="s">
        <v>42</v>
      </c>
    </row>
    <row r="997" spans="1:10" x14ac:dyDescent="0.25">
      <c r="A997" t="s">
        <v>390</v>
      </c>
      <c r="C997" s="286">
        <v>42430.714988425927</v>
      </c>
      <c r="D997" t="s">
        <v>382</v>
      </c>
      <c r="E997">
        <v>0</v>
      </c>
      <c r="F997" s="287"/>
      <c r="G997" s="287"/>
      <c r="H997" s="287"/>
      <c r="I997" t="s">
        <v>382</v>
      </c>
      <c r="J997" t="s">
        <v>42</v>
      </c>
    </row>
    <row r="998" spans="1:10" x14ac:dyDescent="0.25">
      <c r="A998" t="s">
        <v>390</v>
      </c>
      <c r="C998" s="286">
        <v>42430.852303240739</v>
      </c>
      <c r="D998" t="s">
        <v>382</v>
      </c>
      <c r="E998">
        <v>0</v>
      </c>
      <c r="F998" s="287"/>
      <c r="G998" s="287"/>
      <c r="H998" s="287"/>
      <c r="I998" t="s">
        <v>382</v>
      </c>
      <c r="J998" t="s">
        <v>42</v>
      </c>
    </row>
    <row r="999" spans="1:10" x14ac:dyDescent="0.25">
      <c r="A999" t="s">
        <v>407</v>
      </c>
      <c r="C999" s="286">
        <v>42431.349050925928</v>
      </c>
      <c r="D999" t="s">
        <v>382</v>
      </c>
      <c r="E999">
        <v>0</v>
      </c>
      <c r="F999" s="287"/>
      <c r="G999" s="287"/>
      <c r="H999" s="287"/>
      <c r="I999" t="s">
        <v>382</v>
      </c>
      <c r="J999" t="s">
        <v>42</v>
      </c>
    </row>
    <row r="1000" spans="1:10" x14ac:dyDescent="0.25">
      <c r="A1000" t="s">
        <v>390</v>
      </c>
      <c r="C1000" s="286">
        <v>42431.72855324074</v>
      </c>
      <c r="D1000" t="s">
        <v>382</v>
      </c>
      <c r="E1000">
        <v>0</v>
      </c>
      <c r="F1000" s="287"/>
      <c r="G1000" s="287"/>
      <c r="H1000" s="287"/>
      <c r="I1000" t="s">
        <v>382</v>
      </c>
      <c r="J1000" t="s">
        <v>42</v>
      </c>
    </row>
    <row r="1001" spans="1:10" x14ac:dyDescent="0.25">
      <c r="A1001" t="s">
        <v>390</v>
      </c>
      <c r="C1001" s="286">
        <v>42431.856226851851</v>
      </c>
      <c r="D1001" t="s">
        <v>382</v>
      </c>
      <c r="E1001">
        <v>0</v>
      </c>
      <c r="F1001" s="287"/>
      <c r="G1001" s="287"/>
      <c r="H1001" s="287"/>
      <c r="I1001" t="s">
        <v>382</v>
      </c>
      <c r="J1001" t="s">
        <v>42</v>
      </c>
    </row>
    <row r="1002" spans="1:10" x14ac:dyDescent="0.25">
      <c r="A1002" t="s">
        <v>396</v>
      </c>
      <c r="C1002" s="286">
        <v>42431.951365740744</v>
      </c>
      <c r="D1002" t="s">
        <v>382</v>
      </c>
      <c r="E1002">
        <v>0</v>
      </c>
      <c r="F1002" s="287"/>
      <c r="G1002" s="287"/>
      <c r="H1002" s="287"/>
      <c r="I1002" t="s">
        <v>382</v>
      </c>
      <c r="J1002" t="s">
        <v>42</v>
      </c>
    </row>
    <row r="1003" spans="1:10" x14ac:dyDescent="0.25">
      <c r="A1003" t="s">
        <v>396</v>
      </c>
      <c r="C1003" s="286">
        <v>42432.45820601852</v>
      </c>
      <c r="D1003" t="s">
        <v>382</v>
      </c>
      <c r="E1003">
        <v>0</v>
      </c>
      <c r="F1003" s="287"/>
      <c r="G1003" s="287"/>
      <c r="H1003" s="287"/>
      <c r="I1003" t="s">
        <v>382</v>
      </c>
      <c r="J1003" t="s">
        <v>42</v>
      </c>
    </row>
    <row r="1004" spans="1:10" x14ac:dyDescent="0.25">
      <c r="A1004" t="s">
        <v>390</v>
      </c>
      <c r="C1004" s="286">
        <v>42432.566342592596</v>
      </c>
      <c r="D1004" t="s">
        <v>382</v>
      </c>
      <c r="E1004">
        <v>0</v>
      </c>
      <c r="F1004" s="287"/>
      <c r="G1004" s="287"/>
      <c r="H1004" s="287"/>
      <c r="I1004" t="s">
        <v>382</v>
      </c>
      <c r="J1004" t="s">
        <v>42</v>
      </c>
    </row>
    <row r="1005" spans="1:10" x14ac:dyDescent="0.25">
      <c r="A1005" t="s">
        <v>390</v>
      </c>
      <c r="C1005" s="286">
        <v>42432.787986111114</v>
      </c>
      <c r="D1005" t="s">
        <v>382</v>
      </c>
      <c r="E1005">
        <v>0</v>
      </c>
      <c r="F1005" s="287"/>
      <c r="G1005" s="287"/>
      <c r="H1005" s="287"/>
      <c r="I1005" t="s">
        <v>382</v>
      </c>
      <c r="J1005" t="s">
        <v>42</v>
      </c>
    </row>
    <row r="1006" spans="1:10" x14ac:dyDescent="0.25">
      <c r="A1006" t="s">
        <v>396</v>
      </c>
      <c r="C1006" s="286">
        <v>42433.112962962965</v>
      </c>
      <c r="D1006" t="s">
        <v>382</v>
      </c>
      <c r="E1006">
        <v>0</v>
      </c>
      <c r="F1006" s="287"/>
      <c r="G1006" s="287"/>
      <c r="H1006" s="287"/>
      <c r="I1006" t="s">
        <v>382</v>
      </c>
      <c r="J1006" t="s">
        <v>42</v>
      </c>
    </row>
    <row r="1007" spans="1:10" x14ac:dyDescent="0.25">
      <c r="A1007" t="s">
        <v>396</v>
      </c>
      <c r="C1007" s="286">
        <v>42433.476400462961</v>
      </c>
      <c r="D1007" t="s">
        <v>382</v>
      </c>
      <c r="E1007">
        <v>0</v>
      </c>
      <c r="F1007" s="287"/>
      <c r="G1007" s="287"/>
      <c r="H1007" s="287"/>
      <c r="I1007" t="s">
        <v>382</v>
      </c>
      <c r="J1007" t="s">
        <v>42</v>
      </c>
    </row>
    <row r="1008" spans="1:10" x14ac:dyDescent="0.25">
      <c r="A1008" t="s">
        <v>394</v>
      </c>
      <c r="C1008" s="286">
        <v>42433.523460648146</v>
      </c>
      <c r="D1008" t="s">
        <v>382</v>
      </c>
      <c r="E1008">
        <v>0</v>
      </c>
      <c r="F1008" s="287"/>
      <c r="G1008" s="287"/>
      <c r="H1008" s="287"/>
      <c r="I1008" t="s">
        <v>382</v>
      </c>
      <c r="J1008" t="s">
        <v>42</v>
      </c>
    </row>
    <row r="1009" spans="1:10" x14ac:dyDescent="0.25">
      <c r="A1009" t="s">
        <v>390</v>
      </c>
      <c r="C1009" s="286">
        <v>42433.772638888891</v>
      </c>
      <c r="D1009" t="s">
        <v>382</v>
      </c>
      <c r="E1009">
        <v>0</v>
      </c>
      <c r="F1009" s="287"/>
      <c r="G1009" s="287"/>
      <c r="H1009" s="287"/>
      <c r="I1009" t="s">
        <v>382</v>
      </c>
      <c r="J1009" t="s">
        <v>42</v>
      </c>
    </row>
    <row r="1010" spans="1:10" x14ac:dyDescent="0.25">
      <c r="A1010" t="s">
        <v>396</v>
      </c>
      <c r="C1010" s="286">
        <v>42433.786365740743</v>
      </c>
      <c r="D1010" t="s">
        <v>382</v>
      </c>
      <c r="E1010">
        <v>0</v>
      </c>
      <c r="F1010" s="287"/>
      <c r="G1010" s="287"/>
      <c r="H1010" s="287"/>
      <c r="I1010" t="s">
        <v>382</v>
      </c>
      <c r="J1010" t="s">
        <v>42</v>
      </c>
    </row>
    <row r="1011" spans="1:10" x14ac:dyDescent="0.25">
      <c r="A1011" t="s">
        <v>390</v>
      </c>
      <c r="C1011" s="286">
        <v>42433.793969907405</v>
      </c>
      <c r="D1011" t="s">
        <v>382</v>
      </c>
      <c r="E1011">
        <v>0</v>
      </c>
      <c r="F1011" s="287"/>
      <c r="G1011" s="287"/>
      <c r="H1011" s="287"/>
      <c r="I1011" t="s">
        <v>382</v>
      </c>
      <c r="J1011" t="s">
        <v>42</v>
      </c>
    </row>
    <row r="1012" spans="1:10" x14ac:dyDescent="0.25">
      <c r="A1012" t="s">
        <v>404</v>
      </c>
      <c r="C1012" s="286">
        <v>42433.918217592596</v>
      </c>
      <c r="D1012" t="s">
        <v>382</v>
      </c>
      <c r="E1012">
        <v>0</v>
      </c>
      <c r="F1012" s="287"/>
      <c r="G1012" s="287"/>
      <c r="H1012" s="287"/>
      <c r="I1012" t="s">
        <v>382</v>
      </c>
      <c r="J1012" t="s">
        <v>42</v>
      </c>
    </row>
    <row r="1013" spans="1:10" x14ac:dyDescent="0.25">
      <c r="A1013" t="s">
        <v>396</v>
      </c>
      <c r="C1013" s="286">
        <v>42434.115370370368</v>
      </c>
      <c r="D1013" t="s">
        <v>382</v>
      </c>
      <c r="E1013">
        <v>0</v>
      </c>
      <c r="F1013" s="287"/>
      <c r="G1013" s="287"/>
      <c r="H1013" s="287"/>
      <c r="I1013" t="s">
        <v>382</v>
      </c>
      <c r="J1013" t="s">
        <v>42</v>
      </c>
    </row>
    <row r="1014" spans="1:10" x14ac:dyDescent="0.25">
      <c r="A1014" t="s">
        <v>396</v>
      </c>
      <c r="C1014" s="286">
        <v>42434.436296296299</v>
      </c>
      <c r="D1014" t="s">
        <v>382</v>
      </c>
      <c r="E1014">
        <v>0</v>
      </c>
      <c r="F1014" s="287"/>
      <c r="G1014" s="287"/>
      <c r="H1014" s="287"/>
      <c r="I1014" t="s">
        <v>382</v>
      </c>
      <c r="J1014" t="s">
        <v>42</v>
      </c>
    </row>
    <row r="1015" spans="1:10" x14ac:dyDescent="0.25">
      <c r="A1015" t="s">
        <v>390</v>
      </c>
      <c r="C1015" s="286">
        <v>42434.755682870367</v>
      </c>
      <c r="D1015" t="s">
        <v>382</v>
      </c>
      <c r="E1015">
        <v>0</v>
      </c>
      <c r="F1015" s="287"/>
      <c r="G1015" s="287"/>
      <c r="H1015" s="287"/>
      <c r="I1015" t="s">
        <v>382</v>
      </c>
      <c r="J1015" t="s">
        <v>42</v>
      </c>
    </row>
    <row r="1016" spans="1:10" x14ac:dyDescent="0.25">
      <c r="A1016" t="s">
        <v>396</v>
      </c>
      <c r="C1016" s="286">
        <v>42434.759629629632</v>
      </c>
      <c r="D1016" t="s">
        <v>382</v>
      </c>
      <c r="E1016">
        <v>0</v>
      </c>
      <c r="F1016" s="287"/>
      <c r="G1016" s="287"/>
      <c r="H1016" s="287"/>
      <c r="I1016" t="s">
        <v>382</v>
      </c>
      <c r="J1016" t="s">
        <v>42</v>
      </c>
    </row>
    <row r="1017" spans="1:10" x14ac:dyDescent="0.25">
      <c r="A1017" t="s">
        <v>406</v>
      </c>
      <c r="C1017" s="286">
        <v>42434.830706018518</v>
      </c>
      <c r="D1017" t="s">
        <v>382</v>
      </c>
      <c r="E1017">
        <v>0</v>
      </c>
      <c r="F1017" s="287"/>
      <c r="G1017" s="287"/>
      <c r="H1017" s="287"/>
      <c r="I1017" t="s">
        <v>382</v>
      </c>
      <c r="J1017" t="s">
        <v>42</v>
      </c>
    </row>
    <row r="1018" spans="1:10" x14ac:dyDescent="0.25">
      <c r="A1018" t="s">
        <v>396</v>
      </c>
      <c r="C1018" s="286">
        <v>42435.10491898148</v>
      </c>
      <c r="D1018" t="s">
        <v>382</v>
      </c>
      <c r="E1018">
        <v>0</v>
      </c>
      <c r="F1018" s="287"/>
      <c r="G1018" s="287"/>
      <c r="H1018" s="287"/>
      <c r="I1018" t="s">
        <v>382</v>
      </c>
      <c r="J1018" t="s">
        <v>42</v>
      </c>
    </row>
    <row r="1019" spans="1:10" x14ac:dyDescent="0.25">
      <c r="A1019" t="s">
        <v>396</v>
      </c>
      <c r="C1019" s="286">
        <v>42435.447939814818</v>
      </c>
      <c r="D1019" t="s">
        <v>382</v>
      </c>
      <c r="E1019">
        <v>0</v>
      </c>
      <c r="F1019" s="287"/>
      <c r="G1019" s="287"/>
      <c r="H1019" s="287"/>
      <c r="I1019" t="s">
        <v>382</v>
      </c>
      <c r="J1019" t="s">
        <v>42</v>
      </c>
    </row>
    <row r="1020" spans="1:10" x14ac:dyDescent="0.25">
      <c r="A1020" t="s">
        <v>396</v>
      </c>
      <c r="C1020" s="286">
        <v>42435.76190972222</v>
      </c>
      <c r="D1020" t="s">
        <v>382</v>
      </c>
      <c r="E1020">
        <v>0</v>
      </c>
      <c r="F1020" s="287"/>
      <c r="G1020" s="287"/>
      <c r="H1020" s="287"/>
      <c r="I1020" t="s">
        <v>382</v>
      </c>
      <c r="J1020" t="s">
        <v>42</v>
      </c>
    </row>
    <row r="1021" spans="1:10" x14ac:dyDescent="0.25">
      <c r="A1021" t="s">
        <v>390</v>
      </c>
      <c r="C1021" s="286">
        <v>42435.776574074072</v>
      </c>
      <c r="D1021" t="s">
        <v>382</v>
      </c>
      <c r="E1021">
        <v>0</v>
      </c>
      <c r="F1021" s="287"/>
      <c r="G1021" s="287"/>
      <c r="H1021" s="287"/>
      <c r="I1021" t="s">
        <v>382</v>
      </c>
      <c r="J1021" t="s">
        <v>42</v>
      </c>
    </row>
    <row r="1022" spans="1:10" x14ac:dyDescent="0.25">
      <c r="A1022" t="s">
        <v>396</v>
      </c>
      <c r="C1022" s="286">
        <v>42436.114629629628</v>
      </c>
      <c r="D1022" t="s">
        <v>382</v>
      </c>
      <c r="E1022">
        <v>0</v>
      </c>
      <c r="F1022" s="287"/>
      <c r="G1022" s="287"/>
      <c r="H1022" s="287"/>
      <c r="I1022" t="s">
        <v>382</v>
      </c>
      <c r="J1022" t="s">
        <v>42</v>
      </c>
    </row>
    <row r="1023" spans="1:10" x14ac:dyDescent="0.25">
      <c r="A1023" t="s">
        <v>390</v>
      </c>
      <c r="C1023" s="286">
        <v>42436.772291666668</v>
      </c>
      <c r="D1023" t="s">
        <v>382</v>
      </c>
      <c r="E1023">
        <v>0</v>
      </c>
      <c r="F1023" s="287"/>
      <c r="G1023" s="287"/>
      <c r="H1023" s="287"/>
      <c r="I1023" t="s">
        <v>382</v>
      </c>
      <c r="J1023" t="s">
        <v>42</v>
      </c>
    </row>
    <row r="1024" spans="1:10" x14ac:dyDescent="0.25">
      <c r="A1024" t="s">
        <v>390</v>
      </c>
      <c r="C1024" s="286">
        <v>42436.832395833335</v>
      </c>
      <c r="D1024" t="s">
        <v>382</v>
      </c>
      <c r="E1024">
        <v>0</v>
      </c>
      <c r="F1024" s="287"/>
      <c r="G1024" s="287"/>
      <c r="H1024" s="287"/>
      <c r="I1024" t="s">
        <v>382</v>
      </c>
      <c r="J1024" t="s">
        <v>42</v>
      </c>
    </row>
    <row r="1025" spans="1:10" x14ac:dyDescent="0.25">
      <c r="A1025" t="s">
        <v>396</v>
      </c>
      <c r="C1025" s="286">
        <v>42436.882106481484</v>
      </c>
      <c r="D1025" t="s">
        <v>382</v>
      </c>
      <c r="E1025">
        <v>0</v>
      </c>
      <c r="F1025" s="287"/>
      <c r="G1025" s="287"/>
      <c r="H1025" s="287"/>
      <c r="I1025" t="s">
        <v>382</v>
      </c>
      <c r="J1025" t="s">
        <v>42</v>
      </c>
    </row>
    <row r="1026" spans="1:10" x14ac:dyDescent="0.25">
      <c r="A1026" t="s">
        <v>396</v>
      </c>
      <c r="C1026" s="286">
        <v>42437.180081018516</v>
      </c>
      <c r="D1026" t="s">
        <v>382</v>
      </c>
      <c r="E1026">
        <v>0</v>
      </c>
      <c r="F1026" s="287"/>
      <c r="G1026" s="287"/>
      <c r="H1026" s="287"/>
      <c r="I1026" t="s">
        <v>382</v>
      </c>
      <c r="J1026" t="s">
        <v>42</v>
      </c>
    </row>
    <row r="1027" spans="1:10" x14ac:dyDescent="0.25">
      <c r="A1027" t="s">
        <v>390</v>
      </c>
      <c r="C1027" s="286">
        <v>42437.722615740742</v>
      </c>
      <c r="D1027" t="s">
        <v>382</v>
      </c>
      <c r="E1027">
        <v>0</v>
      </c>
      <c r="F1027" s="287"/>
      <c r="G1027" s="287"/>
      <c r="H1027" s="287"/>
      <c r="I1027" t="s">
        <v>382</v>
      </c>
      <c r="J1027" t="s">
        <v>42</v>
      </c>
    </row>
    <row r="1028" spans="1:10" x14ac:dyDescent="0.25">
      <c r="A1028" t="s">
        <v>390</v>
      </c>
      <c r="C1028" s="286">
        <v>42437.75440972222</v>
      </c>
      <c r="D1028" t="s">
        <v>382</v>
      </c>
      <c r="E1028">
        <v>0</v>
      </c>
      <c r="F1028" s="287"/>
      <c r="G1028" s="287"/>
      <c r="H1028" s="287"/>
      <c r="I1028" t="s">
        <v>382</v>
      </c>
      <c r="J1028" t="s">
        <v>42</v>
      </c>
    </row>
    <row r="1029" spans="1:10" x14ac:dyDescent="0.25">
      <c r="A1029" t="s">
        <v>390</v>
      </c>
      <c r="C1029" s="286">
        <v>42437.814305555556</v>
      </c>
      <c r="D1029" t="s">
        <v>382</v>
      </c>
      <c r="E1029">
        <v>0</v>
      </c>
      <c r="F1029" s="287"/>
      <c r="G1029" s="287"/>
      <c r="H1029" s="287"/>
      <c r="I1029" t="s">
        <v>382</v>
      </c>
      <c r="J1029" t="s">
        <v>42</v>
      </c>
    </row>
    <row r="1030" spans="1:10" x14ac:dyDescent="0.25">
      <c r="A1030" t="s">
        <v>396</v>
      </c>
      <c r="C1030" s="286">
        <v>42437.978645833333</v>
      </c>
      <c r="D1030" t="s">
        <v>382</v>
      </c>
      <c r="E1030">
        <v>0</v>
      </c>
      <c r="F1030" s="287"/>
      <c r="G1030" s="287"/>
      <c r="H1030" s="287"/>
      <c r="I1030" t="s">
        <v>382</v>
      </c>
      <c r="J1030" t="s">
        <v>42</v>
      </c>
    </row>
    <row r="1031" spans="1:10" x14ac:dyDescent="0.25">
      <c r="A1031" t="s">
        <v>396</v>
      </c>
      <c r="C1031" s="286">
        <v>42438.301770833335</v>
      </c>
      <c r="D1031" t="s">
        <v>382</v>
      </c>
      <c r="E1031">
        <v>0</v>
      </c>
      <c r="F1031" s="287"/>
      <c r="G1031" s="287"/>
      <c r="H1031" s="287"/>
      <c r="I1031" t="s">
        <v>382</v>
      </c>
      <c r="J1031" t="s">
        <v>42</v>
      </c>
    </row>
    <row r="1032" spans="1:10" x14ac:dyDescent="0.25">
      <c r="A1032" t="s">
        <v>390</v>
      </c>
      <c r="C1032" s="286">
        <v>42438.513148148151</v>
      </c>
      <c r="D1032" t="s">
        <v>382</v>
      </c>
      <c r="E1032">
        <v>0</v>
      </c>
      <c r="F1032" s="287"/>
      <c r="G1032" s="287"/>
      <c r="H1032" s="287"/>
      <c r="I1032" t="s">
        <v>382</v>
      </c>
      <c r="J1032" t="s">
        <v>42</v>
      </c>
    </row>
    <row r="1033" spans="1:10" x14ac:dyDescent="0.25">
      <c r="A1033" t="s">
        <v>390</v>
      </c>
      <c r="C1033" s="286">
        <v>42438.722303240742</v>
      </c>
      <c r="D1033" t="s">
        <v>382</v>
      </c>
      <c r="E1033">
        <v>0</v>
      </c>
      <c r="F1033" s="287"/>
      <c r="G1033" s="287"/>
      <c r="H1033" s="287"/>
      <c r="I1033" t="s">
        <v>382</v>
      </c>
      <c r="J1033" t="s">
        <v>42</v>
      </c>
    </row>
    <row r="1034" spans="1:10" x14ac:dyDescent="0.25">
      <c r="A1034" t="s">
        <v>390</v>
      </c>
      <c r="C1034" s="286">
        <v>42438.843645833331</v>
      </c>
      <c r="D1034" t="s">
        <v>382</v>
      </c>
      <c r="E1034">
        <v>0</v>
      </c>
      <c r="F1034" s="287"/>
      <c r="G1034" s="287"/>
      <c r="H1034" s="287"/>
      <c r="I1034" t="s">
        <v>382</v>
      </c>
      <c r="J1034" t="s">
        <v>42</v>
      </c>
    </row>
    <row r="1035" spans="1:10" x14ac:dyDescent="0.25">
      <c r="A1035" t="s">
        <v>396</v>
      </c>
      <c r="C1035" s="286">
        <v>42438.856400462966</v>
      </c>
      <c r="D1035" t="s">
        <v>382</v>
      </c>
      <c r="E1035">
        <v>0</v>
      </c>
      <c r="F1035" s="287"/>
      <c r="G1035" s="287"/>
      <c r="H1035" s="287"/>
      <c r="I1035" t="s">
        <v>382</v>
      </c>
      <c r="J1035" t="s">
        <v>42</v>
      </c>
    </row>
    <row r="1036" spans="1:10" x14ac:dyDescent="0.25">
      <c r="A1036" t="s">
        <v>396</v>
      </c>
      <c r="C1036" s="286">
        <v>42439.185057870367</v>
      </c>
      <c r="D1036" t="s">
        <v>382</v>
      </c>
      <c r="E1036">
        <v>0</v>
      </c>
      <c r="F1036" s="287"/>
      <c r="G1036" s="287"/>
      <c r="H1036" s="287"/>
      <c r="I1036" t="s">
        <v>382</v>
      </c>
      <c r="J1036" t="s">
        <v>42</v>
      </c>
    </row>
    <row r="1037" spans="1:10" x14ac:dyDescent="0.25">
      <c r="A1037" t="s">
        <v>396</v>
      </c>
      <c r="C1037" s="286">
        <v>42439.844641203701</v>
      </c>
      <c r="D1037" t="s">
        <v>382</v>
      </c>
      <c r="E1037">
        <v>0</v>
      </c>
      <c r="F1037" s="287"/>
      <c r="G1037" s="287"/>
      <c r="H1037" s="287"/>
      <c r="I1037" t="s">
        <v>382</v>
      </c>
      <c r="J1037" t="s">
        <v>42</v>
      </c>
    </row>
    <row r="1038" spans="1:10" x14ac:dyDescent="0.25">
      <c r="A1038" t="s">
        <v>390</v>
      </c>
      <c r="C1038" s="286">
        <v>42439.854062500002</v>
      </c>
      <c r="D1038" t="s">
        <v>382</v>
      </c>
      <c r="E1038">
        <v>0</v>
      </c>
      <c r="F1038" s="287"/>
      <c r="G1038" s="287"/>
      <c r="H1038" s="287"/>
      <c r="I1038" t="s">
        <v>382</v>
      </c>
      <c r="J1038" t="s">
        <v>42</v>
      </c>
    </row>
    <row r="1039" spans="1:10" x14ac:dyDescent="0.25">
      <c r="A1039" t="s">
        <v>396</v>
      </c>
      <c r="C1039" s="286">
        <v>42440.18246527778</v>
      </c>
      <c r="D1039" t="s">
        <v>382</v>
      </c>
      <c r="E1039">
        <v>0</v>
      </c>
      <c r="F1039" s="287"/>
      <c r="G1039" s="287"/>
      <c r="H1039" s="287"/>
      <c r="I1039" t="s">
        <v>382</v>
      </c>
      <c r="J1039" t="s">
        <v>42</v>
      </c>
    </row>
    <row r="1040" spans="1:10" x14ac:dyDescent="0.25">
      <c r="A1040" t="s">
        <v>390</v>
      </c>
      <c r="C1040" s="286">
        <v>42440.78224537037</v>
      </c>
      <c r="D1040" t="s">
        <v>382</v>
      </c>
      <c r="E1040">
        <v>0</v>
      </c>
      <c r="F1040" s="287"/>
      <c r="G1040" s="287"/>
      <c r="H1040" s="287"/>
      <c r="I1040" t="s">
        <v>382</v>
      </c>
      <c r="J1040" t="s">
        <v>42</v>
      </c>
    </row>
    <row r="1041" spans="1:10" x14ac:dyDescent="0.25">
      <c r="A1041" t="s">
        <v>396</v>
      </c>
      <c r="C1041" s="286">
        <v>42441.210486111115</v>
      </c>
      <c r="D1041" t="s">
        <v>382</v>
      </c>
      <c r="E1041">
        <v>0</v>
      </c>
      <c r="F1041" s="287"/>
      <c r="G1041" s="287"/>
      <c r="H1041" s="287"/>
      <c r="I1041" t="s">
        <v>382</v>
      </c>
      <c r="J1041" t="s">
        <v>42</v>
      </c>
    </row>
    <row r="1042" spans="1:10" x14ac:dyDescent="0.25">
      <c r="A1042" t="s">
        <v>401</v>
      </c>
      <c r="C1042" s="286">
        <v>42441.778854166667</v>
      </c>
      <c r="D1042" t="s">
        <v>382</v>
      </c>
      <c r="E1042">
        <v>0</v>
      </c>
      <c r="F1042" s="287"/>
      <c r="G1042" s="287"/>
      <c r="H1042" s="287"/>
      <c r="I1042" t="s">
        <v>382</v>
      </c>
      <c r="J1042" t="s">
        <v>42</v>
      </c>
    </row>
    <row r="1043" spans="1:10" x14ac:dyDescent="0.25">
      <c r="A1043" t="s">
        <v>388</v>
      </c>
      <c r="C1043" s="286">
        <v>42441.779247685183</v>
      </c>
      <c r="D1043" t="s">
        <v>382</v>
      </c>
      <c r="E1043">
        <v>0</v>
      </c>
      <c r="F1043" s="287"/>
      <c r="G1043" s="287"/>
      <c r="H1043" s="287"/>
      <c r="I1043" t="s">
        <v>382</v>
      </c>
      <c r="J1043" t="s">
        <v>42</v>
      </c>
    </row>
    <row r="1044" spans="1:10" x14ac:dyDescent="0.25">
      <c r="A1044" t="s">
        <v>390</v>
      </c>
      <c r="C1044" s="286">
        <v>42441.785601851851</v>
      </c>
      <c r="D1044" t="s">
        <v>382</v>
      </c>
      <c r="E1044">
        <v>0</v>
      </c>
      <c r="F1044" s="287"/>
      <c r="G1044" s="287"/>
      <c r="H1044" s="287"/>
      <c r="I1044" t="s">
        <v>382</v>
      </c>
      <c r="J1044" t="s">
        <v>42</v>
      </c>
    </row>
    <row r="1045" spans="1:10" x14ac:dyDescent="0.25">
      <c r="A1045" t="s">
        <v>406</v>
      </c>
      <c r="C1045" s="286">
        <v>42441.800555555557</v>
      </c>
      <c r="D1045" t="s">
        <v>382</v>
      </c>
      <c r="E1045">
        <v>0</v>
      </c>
      <c r="F1045" s="287"/>
      <c r="G1045" s="287"/>
      <c r="H1045" s="287"/>
      <c r="I1045" t="s">
        <v>382</v>
      </c>
      <c r="J1045" t="s">
        <v>42</v>
      </c>
    </row>
    <row r="1046" spans="1:10" x14ac:dyDescent="0.25">
      <c r="A1046" t="s">
        <v>390</v>
      </c>
      <c r="C1046" s="286">
        <v>42441.83384259259</v>
      </c>
      <c r="D1046" t="s">
        <v>382</v>
      </c>
      <c r="E1046">
        <v>0</v>
      </c>
      <c r="F1046" s="287"/>
      <c r="G1046" s="287"/>
      <c r="H1046" s="287"/>
      <c r="I1046" t="s">
        <v>382</v>
      </c>
      <c r="J1046" t="s">
        <v>42</v>
      </c>
    </row>
    <row r="1047" spans="1:10" x14ac:dyDescent="0.25">
      <c r="A1047" t="s">
        <v>396</v>
      </c>
      <c r="C1047" s="286">
        <v>42442.537523148145</v>
      </c>
      <c r="D1047" t="s">
        <v>382</v>
      </c>
      <c r="E1047">
        <v>0</v>
      </c>
      <c r="F1047" s="287"/>
      <c r="G1047" s="287"/>
      <c r="H1047" s="287"/>
      <c r="I1047" t="s">
        <v>382</v>
      </c>
      <c r="J1047" t="s">
        <v>42</v>
      </c>
    </row>
    <row r="1048" spans="1:10" x14ac:dyDescent="0.25">
      <c r="A1048" t="s">
        <v>390</v>
      </c>
      <c r="C1048" s="286">
        <v>42442.708981481483</v>
      </c>
      <c r="D1048" t="s">
        <v>382</v>
      </c>
      <c r="E1048">
        <v>0</v>
      </c>
      <c r="F1048" s="287"/>
      <c r="G1048" s="287"/>
      <c r="H1048" s="287"/>
      <c r="I1048" t="s">
        <v>382</v>
      </c>
      <c r="J1048" t="s">
        <v>42</v>
      </c>
    </row>
    <row r="1049" spans="1:10" x14ac:dyDescent="0.25">
      <c r="A1049" t="s">
        <v>396</v>
      </c>
      <c r="C1049" s="286">
        <v>42443.546759259261</v>
      </c>
      <c r="D1049" t="s">
        <v>382</v>
      </c>
      <c r="E1049">
        <v>0</v>
      </c>
      <c r="F1049" s="287"/>
      <c r="G1049" s="287"/>
      <c r="H1049" s="287"/>
      <c r="I1049" t="s">
        <v>382</v>
      </c>
      <c r="J1049" t="s">
        <v>42</v>
      </c>
    </row>
    <row r="1050" spans="1:10" x14ac:dyDescent="0.25">
      <c r="A1050" t="s">
        <v>390</v>
      </c>
      <c r="C1050" s="286">
        <v>42443.705034722225</v>
      </c>
      <c r="D1050" t="s">
        <v>382</v>
      </c>
      <c r="E1050">
        <v>0</v>
      </c>
      <c r="F1050" s="287"/>
      <c r="G1050" s="287"/>
      <c r="H1050" s="287"/>
      <c r="I1050" t="s">
        <v>382</v>
      </c>
      <c r="J1050" t="s">
        <v>42</v>
      </c>
    </row>
    <row r="1051" spans="1:10" x14ac:dyDescent="0.25">
      <c r="A1051" t="s">
        <v>390</v>
      </c>
      <c r="C1051" s="286">
        <v>42444.816562499997</v>
      </c>
      <c r="D1051" t="s">
        <v>382</v>
      </c>
      <c r="E1051">
        <v>0</v>
      </c>
      <c r="F1051" s="287"/>
      <c r="G1051" s="287"/>
      <c r="H1051" s="287"/>
      <c r="I1051" t="s">
        <v>382</v>
      </c>
      <c r="J1051" t="s">
        <v>42</v>
      </c>
    </row>
    <row r="1052" spans="1:10" x14ac:dyDescent="0.25">
      <c r="A1052" t="s">
        <v>396</v>
      </c>
      <c r="C1052" s="286">
        <v>42444.985486111109</v>
      </c>
      <c r="D1052" t="s">
        <v>382</v>
      </c>
      <c r="E1052">
        <v>0</v>
      </c>
      <c r="F1052" s="287"/>
      <c r="G1052" s="287"/>
      <c r="H1052" s="287"/>
      <c r="I1052" t="s">
        <v>382</v>
      </c>
      <c r="J1052" t="s">
        <v>42</v>
      </c>
    </row>
    <row r="1053" spans="1:10" x14ac:dyDescent="0.25">
      <c r="A1053" t="s">
        <v>390</v>
      </c>
      <c r="C1053" s="286">
        <v>42445.72997685185</v>
      </c>
      <c r="D1053" t="s">
        <v>382</v>
      </c>
      <c r="E1053">
        <v>0</v>
      </c>
      <c r="F1053" s="287"/>
      <c r="G1053" s="287"/>
      <c r="H1053" s="287"/>
      <c r="I1053" t="s">
        <v>382</v>
      </c>
      <c r="J1053" t="s">
        <v>42</v>
      </c>
    </row>
    <row r="1054" spans="1:10" x14ac:dyDescent="0.25">
      <c r="A1054" t="s">
        <v>390</v>
      </c>
      <c r="C1054" s="286">
        <v>42445.832488425927</v>
      </c>
      <c r="D1054" t="s">
        <v>382</v>
      </c>
      <c r="E1054">
        <v>0</v>
      </c>
      <c r="F1054" s="287"/>
      <c r="G1054" s="287"/>
      <c r="H1054" s="287"/>
      <c r="I1054" t="s">
        <v>382</v>
      </c>
      <c r="J1054" t="s">
        <v>42</v>
      </c>
    </row>
    <row r="1055" spans="1:10" x14ac:dyDescent="0.25">
      <c r="A1055" t="s">
        <v>396</v>
      </c>
      <c r="C1055" s="286">
        <v>42445.870555555557</v>
      </c>
      <c r="D1055" t="s">
        <v>382</v>
      </c>
      <c r="E1055">
        <v>0</v>
      </c>
      <c r="F1055" s="287"/>
      <c r="G1055" s="287"/>
      <c r="H1055" s="287"/>
      <c r="I1055" t="s">
        <v>382</v>
      </c>
      <c r="J1055" t="s">
        <v>42</v>
      </c>
    </row>
    <row r="1056" spans="1:10" x14ac:dyDescent="0.25">
      <c r="A1056" t="s">
        <v>390</v>
      </c>
      <c r="C1056" s="286">
        <v>42446.49596064815</v>
      </c>
      <c r="D1056" t="s">
        <v>382</v>
      </c>
      <c r="E1056">
        <v>0</v>
      </c>
      <c r="F1056" s="287"/>
      <c r="G1056" s="287"/>
      <c r="H1056" s="287"/>
      <c r="I1056" t="s">
        <v>382</v>
      </c>
      <c r="J1056" t="s">
        <v>42</v>
      </c>
    </row>
    <row r="1057" spans="1:10" x14ac:dyDescent="0.25">
      <c r="A1057" t="s">
        <v>418</v>
      </c>
      <c r="C1057" s="286">
        <v>42446.760231481479</v>
      </c>
      <c r="D1057" t="s">
        <v>382</v>
      </c>
      <c r="E1057">
        <v>0</v>
      </c>
      <c r="F1057" s="287"/>
      <c r="G1057" s="287"/>
      <c r="H1057" s="287"/>
      <c r="I1057" t="s">
        <v>382</v>
      </c>
      <c r="J1057" t="s">
        <v>42</v>
      </c>
    </row>
    <row r="1058" spans="1:10" x14ac:dyDescent="0.25">
      <c r="A1058" t="s">
        <v>419</v>
      </c>
      <c r="C1058" s="286">
        <v>42446.774918981479</v>
      </c>
      <c r="D1058" t="s">
        <v>382</v>
      </c>
      <c r="E1058">
        <v>0</v>
      </c>
      <c r="F1058" s="287"/>
      <c r="G1058" s="287"/>
      <c r="H1058" s="287"/>
      <c r="I1058" t="s">
        <v>382</v>
      </c>
      <c r="J1058" t="s">
        <v>42</v>
      </c>
    </row>
    <row r="1059" spans="1:10" x14ac:dyDescent="0.25">
      <c r="A1059" t="s">
        <v>390</v>
      </c>
      <c r="C1059" s="286">
        <v>42446.813206018516</v>
      </c>
      <c r="D1059" t="s">
        <v>382</v>
      </c>
      <c r="E1059">
        <v>0</v>
      </c>
      <c r="F1059" s="287"/>
      <c r="G1059" s="287"/>
      <c r="H1059" s="287"/>
      <c r="I1059" t="s">
        <v>382</v>
      </c>
      <c r="J1059" t="s">
        <v>42</v>
      </c>
    </row>
    <row r="1060" spans="1:10" x14ac:dyDescent="0.25">
      <c r="A1060" t="s">
        <v>396</v>
      </c>
      <c r="C1060" s="286">
        <v>42446.847731481481</v>
      </c>
      <c r="D1060" t="s">
        <v>382</v>
      </c>
      <c r="E1060">
        <v>0</v>
      </c>
      <c r="F1060" s="287"/>
      <c r="G1060" s="287"/>
      <c r="H1060" s="287"/>
      <c r="I1060" t="s">
        <v>382</v>
      </c>
      <c r="J1060" t="s">
        <v>42</v>
      </c>
    </row>
    <row r="1061" spans="1:10" x14ac:dyDescent="0.25">
      <c r="A1061" t="s">
        <v>390</v>
      </c>
      <c r="C1061" s="286">
        <v>42447.812662037039</v>
      </c>
      <c r="D1061" t="s">
        <v>382</v>
      </c>
      <c r="E1061">
        <v>0</v>
      </c>
      <c r="F1061" s="287"/>
      <c r="G1061" s="287"/>
      <c r="H1061" s="287"/>
      <c r="I1061" t="s">
        <v>382</v>
      </c>
      <c r="J1061" t="s">
        <v>42</v>
      </c>
    </row>
    <row r="1062" spans="1:10" x14ac:dyDescent="0.25">
      <c r="A1062" t="s">
        <v>413</v>
      </c>
      <c r="C1062" s="286">
        <v>42447.824826388889</v>
      </c>
      <c r="D1062" t="s">
        <v>382</v>
      </c>
      <c r="E1062">
        <v>0</v>
      </c>
      <c r="F1062" s="287"/>
      <c r="G1062" s="287"/>
      <c r="H1062" s="287"/>
      <c r="I1062" t="s">
        <v>382</v>
      </c>
      <c r="J1062" t="s">
        <v>42</v>
      </c>
    </row>
    <row r="1063" spans="1:10" x14ac:dyDescent="0.25">
      <c r="A1063" t="s">
        <v>396</v>
      </c>
      <c r="C1063" s="286">
        <v>42447.867199074077</v>
      </c>
      <c r="D1063" t="s">
        <v>382</v>
      </c>
      <c r="E1063">
        <v>0</v>
      </c>
      <c r="F1063" s="287"/>
      <c r="G1063" s="287"/>
      <c r="H1063" s="287"/>
      <c r="I1063" t="s">
        <v>382</v>
      </c>
      <c r="J1063" t="s">
        <v>42</v>
      </c>
    </row>
    <row r="1064" spans="1:10" x14ac:dyDescent="0.25">
      <c r="A1064" t="s">
        <v>420</v>
      </c>
      <c r="C1064" s="286">
        <v>42448.073935185188</v>
      </c>
      <c r="D1064" t="s">
        <v>382</v>
      </c>
      <c r="E1064">
        <v>0</v>
      </c>
      <c r="F1064" s="287"/>
      <c r="G1064" s="287"/>
      <c r="H1064" s="287"/>
      <c r="I1064" t="s">
        <v>382</v>
      </c>
      <c r="J1064" t="s">
        <v>42</v>
      </c>
    </row>
    <row r="1065" spans="1:10" x14ac:dyDescent="0.25">
      <c r="A1065" t="s">
        <v>404</v>
      </c>
      <c r="C1065" s="286">
        <v>42448.186979166669</v>
      </c>
      <c r="D1065" t="s">
        <v>382</v>
      </c>
      <c r="E1065">
        <v>0</v>
      </c>
      <c r="F1065" s="287"/>
      <c r="G1065" s="287"/>
      <c r="H1065" s="287"/>
      <c r="I1065" t="s">
        <v>382</v>
      </c>
      <c r="J1065" t="s">
        <v>42</v>
      </c>
    </row>
    <row r="1066" spans="1:10" x14ac:dyDescent="0.25">
      <c r="A1066" t="s">
        <v>413</v>
      </c>
      <c r="C1066" s="286">
        <v>42448.480555555558</v>
      </c>
      <c r="D1066" t="s">
        <v>382</v>
      </c>
      <c r="E1066">
        <v>0</v>
      </c>
      <c r="F1066" s="287"/>
      <c r="G1066" s="287"/>
      <c r="H1066" s="287"/>
      <c r="I1066" t="s">
        <v>382</v>
      </c>
      <c r="J1066" t="s">
        <v>42</v>
      </c>
    </row>
    <row r="1067" spans="1:10" x14ac:dyDescent="0.25">
      <c r="A1067" t="s">
        <v>406</v>
      </c>
      <c r="C1067" s="286">
        <v>42448.714618055557</v>
      </c>
      <c r="D1067" t="s">
        <v>382</v>
      </c>
      <c r="E1067">
        <v>0</v>
      </c>
      <c r="F1067" s="287"/>
      <c r="G1067" s="287"/>
      <c r="H1067" s="287"/>
      <c r="I1067" t="s">
        <v>382</v>
      </c>
      <c r="J1067" t="s">
        <v>42</v>
      </c>
    </row>
    <row r="1068" spans="1:10" x14ac:dyDescent="0.25">
      <c r="A1068" t="s">
        <v>390</v>
      </c>
      <c r="C1068" s="286">
        <v>42448.715416666666</v>
      </c>
      <c r="D1068" t="s">
        <v>382</v>
      </c>
      <c r="E1068">
        <v>0</v>
      </c>
      <c r="F1068" s="287"/>
      <c r="G1068" s="287"/>
      <c r="H1068" s="287"/>
      <c r="I1068" t="s">
        <v>382</v>
      </c>
      <c r="J1068" t="s">
        <v>42</v>
      </c>
    </row>
    <row r="1069" spans="1:10" x14ac:dyDescent="0.25">
      <c r="A1069" t="s">
        <v>390</v>
      </c>
      <c r="C1069" s="286">
        <v>42448.841354166667</v>
      </c>
      <c r="D1069" t="s">
        <v>382</v>
      </c>
      <c r="E1069">
        <v>0</v>
      </c>
      <c r="F1069" s="287"/>
      <c r="G1069" s="287"/>
      <c r="H1069" s="287"/>
      <c r="I1069" t="s">
        <v>382</v>
      </c>
      <c r="J1069" t="s">
        <v>42</v>
      </c>
    </row>
    <row r="1070" spans="1:10" x14ac:dyDescent="0.25">
      <c r="A1070" t="s">
        <v>396</v>
      </c>
      <c r="C1070" s="286">
        <v>42448.887592592589</v>
      </c>
      <c r="D1070" t="s">
        <v>382</v>
      </c>
      <c r="E1070">
        <v>0</v>
      </c>
      <c r="F1070" s="287"/>
      <c r="G1070" s="287"/>
      <c r="H1070" s="287"/>
      <c r="I1070" t="s">
        <v>382</v>
      </c>
      <c r="J1070" t="s">
        <v>42</v>
      </c>
    </row>
    <row r="1071" spans="1:10" x14ac:dyDescent="0.25">
      <c r="A1071" t="s">
        <v>390</v>
      </c>
      <c r="C1071" s="286">
        <v>42449.760162037041</v>
      </c>
      <c r="D1071" t="s">
        <v>382</v>
      </c>
      <c r="E1071">
        <v>0</v>
      </c>
      <c r="F1071" s="287"/>
      <c r="G1071" s="287"/>
      <c r="H1071" s="287"/>
      <c r="I1071" t="s">
        <v>382</v>
      </c>
      <c r="J1071" t="s">
        <v>42</v>
      </c>
    </row>
    <row r="1072" spans="1:10" x14ac:dyDescent="0.25">
      <c r="A1072" t="s">
        <v>390</v>
      </c>
      <c r="C1072" s="286">
        <v>42449.791261574072</v>
      </c>
      <c r="D1072" t="s">
        <v>382</v>
      </c>
      <c r="E1072">
        <v>0</v>
      </c>
      <c r="F1072" s="287"/>
      <c r="G1072" s="287"/>
      <c r="H1072" s="287"/>
      <c r="I1072" t="s">
        <v>382</v>
      </c>
      <c r="J1072" t="s">
        <v>42</v>
      </c>
    </row>
    <row r="1073" spans="1:10" x14ac:dyDescent="0.25">
      <c r="A1073" t="s">
        <v>396</v>
      </c>
      <c r="C1073" s="286">
        <v>42449.868206018517</v>
      </c>
      <c r="D1073" t="s">
        <v>382</v>
      </c>
      <c r="E1073">
        <v>0</v>
      </c>
      <c r="F1073" s="287"/>
      <c r="G1073" s="287"/>
      <c r="H1073" s="287"/>
      <c r="I1073" t="s">
        <v>382</v>
      </c>
      <c r="J1073" t="s">
        <v>42</v>
      </c>
    </row>
    <row r="1074" spans="1:10" x14ac:dyDescent="0.25">
      <c r="A1074" t="s">
        <v>390</v>
      </c>
      <c r="C1074" s="286">
        <v>42449.975312499999</v>
      </c>
      <c r="D1074" t="s">
        <v>382</v>
      </c>
      <c r="E1074">
        <v>0</v>
      </c>
      <c r="F1074" s="287"/>
      <c r="G1074" s="287"/>
      <c r="H1074" s="287"/>
      <c r="I1074" t="s">
        <v>382</v>
      </c>
      <c r="J1074" t="s">
        <v>42</v>
      </c>
    </row>
    <row r="1075" spans="1:10" x14ac:dyDescent="0.25">
      <c r="A1075" t="s">
        <v>390</v>
      </c>
      <c r="C1075" s="286">
        <v>42450.833333333336</v>
      </c>
      <c r="D1075" t="s">
        <v>382</v>
      </c>
      <c r="E1075">
        <v>0</v>
      </c>
      <c r="F1075" s="287"/>
      <c r="G1075" s="287"/>
      <c r="H1075" s="287"/>
      <c r="I1075" t="s">
        <v>382</v>
      </c>
      <c r="J1075" t="s">
        <v>42</v>
      </c>
    </row>
    <row r="1076" spans="1:10" x14ac:dyDescent="0.25">
      <c r="A1076" t="s">
        <v>396</v>
      </c>
      <c r="C1076" s="286">
        <v>42450.866898148146</v>
      </c>
      <c r="D1076" t="s">
        <v>382</v>
      </c>
      <c r="E1076">
        <v>0</v>
      </c>
      <c r="F1076" s="287"/>
      <c r="G1076" s="287"/>
      <c r="H1076" s="287"/>
      <c r="I1076" t="s">
        <v>382</v>
      </c>
      <c r="J1076" t="s">
        <v>42</v>
      </c>
    </row>
    <row r="1077" spans="1:10" x14ac:dyDescent="0.25">
      <c r="A1077" t="s">
        <v>421</v>
      </c>
      <c r="C1077" s="286">
        <v>42451.074629629627</v>
      </c>
      <c r="D1077" t="s">
        <v>382</v>
      </c>
      <c r="E1077">
        <v>0</v>
      </c>
      <c r="F1077" s="287"/>
      <c r="G1077" s="287"/>
      <c r="H1077" s="287"/>
      <c r="I1077" t="s">
        <v>382</v>
      </c>
      <c r="J1077" t="s">
        <v>42</v>
      </c>
    </row>
    <row r="1078" spans="1:10" x14ac:dyDescent="0.25">
      <c r="A1078" t="s">
        <v>422</v>
      </c>
      <c r="C1078" s="286">
        <v>42451.72619212963</v>
      </c>
      <c r="D1078" t="s">
        <v>382</v>
      </c>
      <c r="E1078">
        <v>0</v>
      </c>
      <c r="F1078" s="287"/>
      <c r="G1078" s="287"/>
      <c r="H1078" s="287"/>
      <c r="I1078" t="s">
        <v>382</v>
      </c>
      <c r="J1078" t="s">
        <v>42</v>
      </c>
    </row>
    <row r="1079" spans="1:10" x14ac:dyDescent="0.25">
      <c r="A1079" t="s">
        <v>390</v>
      </c>
      <c r="C1079" s="286">
        <v>42451.837164351855</v>
      </c>
      <c r="D1079" t="s">
        <v>382</v>
      </c>
      <c r="E1079">
        <v>0</v>
      </c>
      <c r="F1079" s="287"/>
      <c r="G1079" s="287"/>
      <c r="H1079" s="287"/>
      <c r="I1079" t="s">
        <v>382</v>
      </c>
      <c r="J1079" t="s">
        <v>42</v>
      </c>
    </row>
    <row r="1080" spans="1:10" x14ac:dyDescent="0.25">
      <c r="A1080" t="s">
        <v>396</v>
      </c>
      <c r="C1080" s="286">
        <v>42451.960763888892</v>
      </c>
      <c r="D1080" t="s">
        <v>382</v>
      </c>
      <c r="E1080">
        <v>0</v>
      </c>
      <c r="F1080" s="287"/>
      <c r="G1080" s="287"/>
      <c r="H1080" s="287"/>
      <c r="I1080" t="s">
        <v>382</v>
      </c>
      <c r="J1080" t="s">
        <v>42</v>
      </c>
    </row>
    <row r="1081" spans="1:10" x14ac:dyDescent="0.25">
      <c r="A1081" t="s">
        <v>390</v>
      </c>
      <c r="C1081" s="286">
        <v>42452.611701388887</v>
      </c>
      <c r="D1081" t="s">
        <v>382</v>
      </c>
      <c r="E1081">
        <v>0</v>
      </c>
      <c r="F1081" s="287"/>
      <c r="G1081" s="287"/>
      <c r="H1081" s="287"/>
      <c r="I1081" t="s">
        <v>382</v>
      </c>
      <c r="J1081" t="s">
        <v>42</v>
      </c>
    </row>
    <row r="1082" spans="1:10" x14ac:dyDescent="0.25">
      <c r="A1082" t="s">
        <v>390</v>
      </c>
      <c r="C1082" s="286">
        <v>42452.677418981482</v>
      </c>
      <c r="D1082" t="s">
        <v>382</v>
      </c>
      <c r="E1082">
        <v>0</v>
      </c>
      <c r="F1082" s="287"/>
      <c r="G1082" s="287"/>
      <c r="H1082" s="287"/>
      <c r="I1082" t="s">
        <v>382</v>
      </c>
      <c r="J1082" t="s">
        <v>42</v>
      </c>
    </row>
    <row r="1083" spans="1:10" x14ac:dyDescent="0.25">
      <c r="A1083" t="s">
        <v>390</v>
      </c>
      <c r="C1083" s="286">
        <v>42452.776400462964</v>
      </c>
      <c r="D1083" t="s">
        <v>382</v>
      </c>
      <c r="E1083">
        <v>0</v>
      </c>
      <c r="F1083" s="287"/>
      <c r="G1083" s="287"/>
      <c r="H1083" s="287"/>
      <c r="I1083" t="s">
        <v>382</v>
      </c>
      <c r="J1083" t="s">
        <v>42</v>
      </c>
    </row>
    <row r="1084" spans="1:10" x14ac:dyDescent="0.25">
      <c r="A1084" t="s">
        <v>390</v>
      </c>
      <c r="C1084" s="286">
        <v>42452.807928240742</v>
      </c>
      <c r="D1084" t="s">
        <v>382</v>
      </c>
      <c r="E1084">
        <v>0</v>
      </c>
      <c r="F1084" s="287"/>
      <c r="G1084" s="287"/>
      <c r="H1084" s="287"/>
      <c r="I1084" t="s">
        <v>382</v>
      </c>
      <c r="J1084" t="s">
        <v>42</v>
      </c>
    </row>
    <row r="1085" spans="1:10" x14ac:dyDescent="0.25">
      <c r="A1085" t="s">
        <v>396</v>
      </c>
      <c r="C1085" s="286">
        <v>42452.861018518517</v>
      </c>
      <c r="D1085" t="s">
        <v>382</v>
      </c>
      <c r="E1085">
        <v>0</v>
      </c>
      <c r="F1085" s="287"/>
      <c r="G1085" s="287"/>
      <c r="H1085" s="287"/>
      <c r="I1085" t="s">
        <v>382</v>
      </c>
      <c r="J1085" t="s">
        <v>42</v>
      </c>
    </row>
    <row r="1086" spans="1:10" x14ac:dyDescent="0.25">
      <c r="A1086" t="s">
        <v>390</v>
      </c>
      <c r="C1086" s="286">
        <v>42452.885023148148</v>
      </c>
      <c r="D1086" t="s">
        <v>382</v>
      </c>
      <c r="E1086">
        <v>0</v>
      </c>
      <c r="F1086" s="287"/>
      <c r="G1086" s="287"/>
      <c r="H1086" s="287"/>
      <c r="I1086" t="s">
        <v>382</v>
      </c>
      <c r="J1086" t="s">
        <v>42</v>
      </c>
    </row>
    <row r="1087" spans="1:10" x14ac:dyDescent="0.25">
      <c r="A1087" t="s">
        <v>423</v>
      </c>
      <c r="C1087" s="286">
        <v>42453.075416666667</v>
      </c>
      <c r="D1087" t="s">
        <v>382</v>
      </c>
      <c r="E1087">
        <v>0</v>
      </c>
      <c r="F1087" s="287"/>
      <c r="G1087" s="287"/>
      <c r="H1087" s="287"/>
      <c r="I1087" t="s">
        <v>382</v>
      </c>
      <c r="J1087" t="s">
        <v>42</v>
      </c>
    </row>
    <row r="1088" spans="1:10" x14ac:dyDescent="0.25">
      <c r="A1088" t="s">
        <v>390</v>
      </c>
      <c r="C1088" s="286">
        <v>42453.491053240738</v>
      </c>
      <c r="D1088" t="s">
        <v>382</v>
      </c>
      <c r="E1088">
        <v>0</v>
      </c>
      <c r="F1088" s="287"/>
      <c r="G1088" s="287"/>
      <c r="H1088" s="287"/>
      <c r="I1088" t="s">
        <v>382</v>
      </c>
      <c r="J1088" t="s">
        <v>42</v>
      </c>
    </row>
    <row r="1089" spans="1:10" x14ac:dyDescent="0.25">
      <c r="A1089" t="s">
        <v>390</v>
      </c>
      <c r="C1089" s="286">
        <v>42453.724178240744</v>
      </c>
      <c r="D1089" t="s">
        <v>382</v>
      </c>
      <c r="E1089">
        <v>0</v>
      </c>
      <c r="F1089" s="287"/>
      <c r="G1089" s="287"/>
      <c r="H1089" s="287"/>
      <c r="I1089" t="s">
        <v>382</v>
      </c>
      <c r="J1089" t="s">
        <v>42</v>
      </c>
    </row>
    <row r="1090" spans="1:10" x14ac:dyDescent="0.25">
      <c r="A1090" t="s">
        <v>396</v>
      </c>
      <c r="C1090" s="286">
        <v>42453.880104166667</v>
      </c>
      <c r="D1090" t="s">
        <v>382</v>
      </c>
      <c r="E1090">
        <v>0</v>
      </c>
      <c r="F1090" s="287"/>
      <c r="G1090" s="287"/>
      <c r="H1090" s="287"/>
      <c r="I1090" t="s">
        <v>382</v>
      </c>
      <c r="J1090" t="s">
        <v>42</v>
      </c>
    </row>
    <row r="1091" spans="1:10" x14ac:dyDescent="0.25">
      <c r="A1091" t="s">
        <v>390</v>
      </c>
      <c r="C1091" s="286">
        <v>42454.762708333335</v>
      </c>
      <c r="D1091" t="s">
        <v>382</v>
      </c>
      <c r="E1091">
        <v>0</v>
      </c>
      <c r="F1091" s="287"/>
      <c r="G1091" s="287"/>
      <c r="H1091" s="287"/>
      <c r="I1091" t="s">
        <v>382</v>
      </c>
      <c r="J1091" t="s">
        <v>42</v>
      </c>
    </row>
    <row r="1092" spans="1:10" x14ac:dyDescent="0.25">
      <c r="A1092" t="s">
        <v>390</v>
      </c>
      <c r="C1092" s="286">
        <v>42454.772719907407</v>
      </c>
      <c r="D1092" t="s">
        <v>382</v>
      </c>
      <c r="E1092">
        <v>0</v>
      </c>
      <c r="F1092" s="287"/>
      <c r="G1092" s="287"/>
      <c r="H1092" s="287"/>
      <c r="I1092" t="s">
        <v>382</v>
      </c>
      <c r="J1092" t="s">
        <v>42</v>
      </c>
    </row>
    <row r="1093" spans="1:10" x14ac:dyDescent="0.25">
      <c r="A1093" t="s">
        <v>396</v>
      </c>
      <c r="C1093" s="286">
        <v>42454.846400462964</v>
      </c>
      <c r="D1093" t="s">
        <v>382</v>
      </c>
      <c r="E1093">
        <v>0</v>
      </c>
      <c r="F1093" s="287"/>
      <c r="G1093" s="287"/>
      <c r="H1093" s="287"/>
      <c r="I1093" t="s">
        <v>382</v>
      </c>
      <c r="J1093" t="s">
        <v>42</v>
      </c>
    </row>
    <row r="1094" spans="1:10" x14ac:dyDescent="0.25">
      <c r="A1094" t="s">
        <v>390</v>
      </c>
      <c r="C1094" s="286">
        <v>42454.895092592589</v>
      </c>
      <c r="D1094" t="s">
        <v>382</v>
      </c>
      <c r="E1094">
        <v>0</v>
      </c>
      <c r="F1094" s="287"/>
      <c r="G1094" s="287"/>
      <c r="H1094" s="287"/>
      <c r="I1094" t="s">
        <v>382</v>
      </c>
      <c r="J1094" t="s">
        <v>42</v>
      </c>
    </row>
    <row r="1095" spans="1:10" x14ac:dyDescent="0.25">
      <c r="A1095" t="s">
        <v>424</v>
      </c>
      <c r="C1095" s="286">
        <v>42455.076099537036</v>
      </c>
      <c r="D1095" t="s">
        <v>382</v>
      </c>
      <c r="E1095">
        <v>0</v>
      </c>
      <c r="F1095" s="287"/>
      <c r="G1095" s="287"/>
      <c r="H1095" s="287"/>
      <c r="I1095" t="s">
        <v>382</v>
      </c>
      <c r="J1095" t="s">
        <v>42</v>
      </c>
    </row>
    <row r="1096" spans="1:10" x14ac:dyDescent="0.25">
      <c r="A1096" t="s">
        <v>425</v>
      </c>
      <c r="C1096" s="286">
        <v>42455.583981481483</v>
      </c>
      <c r="D1096" t="s">
        <v>382</v>
      </c>
      <c r="E1096">
        <v>0</v>
      </c>
      <c r="F1096" s="287"/>
      <c r="G1096" s="287"/>
      <c r="H1096" s="287"/>
      <c r="I1096" t="s">
        <v>382</v>
      </c>
      <c r="J1096" t="s">
        <v>42</v>
      </c>
    </row>
    <row r="1097" spans="1:10" x14ac:dyDescent="0.25">
      <c r="A1097" t="s">
        <v>390</v>
      </c>
      <c r="C1097" s="286">
        <v>42455.630914351852</v>
      </c>
      <c r="D1097" t="s">
        <v>382</v>
      </c>
      <c r="E1097">
        <v>0</v>
      </c>
      <c r="F1097" s="287"/>
      <c r="G1097" s="287"/>
      <c r="H1097" s="287"/>
      <c r="I1097" t="s">
        <v>382</v>
      </c>
      <c r="J1097" t="s">
        <v>42</v>
      </c>
    </row>
    <row r="1098" spans="1:10" x14ac:dyDescent="0.25">
      <c r="A1098" t="s">
        <v>406</v>
      </c>
      <c r="C1098" s="286">
        <v>42455.709131944444</v>
      </c>
      <c r="D1098" t="s">
        <v>382</v>
      </c>
      <c r="E1098">
        <v>0</v>
      </c>
      <c r="F1098" s="287"/>
      <c r="G1098" s="287"/>
      <c r="H1098" s="287"/>
      <c r="I1098" t="s">
        <v>382</v>
      </c>
      <c r="J1098" t="s">
        <v>42</v>
      </c>
    </row>
    <row r="1099" spans="1:10" x14ac:dyDescent="0.25">
      <c r="A1099" t="s">
        <v>390</v>
      </c>
      <c r="C1099" s="286">
        <v>42455.839502314811</v>
      </c>
      <c r="D1099" t="s">
        <v>382</v>
      </c>
      <c r="E1099">
        <v>0</v>
      </c>
      <c r="F1099" s="287"/>
      <c r="G1099" s="287"/>
      <c r="H1099" s="287"/>
      <c r="I1099" t="s">
        <v>382</v>
      </c>
      <c r="J1099" t="s">
        <v>42</v>
      </c>
    </row>
    <row r="1100" spans="1:10" x14ac:dyDescent="0.25">
      <c r="A1100" t="s">
        <v>396</v>
      </c>
      <c r="C1100" s="286">
        <v>42455.872372685182</v>
      </c>
      <c r="D1100" t="s">
        <v>382</v>
      </c>
      <c r="E1100">
        <v>0</v>
      </c>
      <c r="F1100" s="287"/>
      <c r="G1100" s="287"/>
      <c r="H1100" s="287"/>
      <c r="I1100" t="s">
        <v>382</v>
      </c>
      <c r="J1100" t="s">
        <v>42</v>
      </c>
    </row>
    <row r="1101" spans="1:10" x14ac:dyDescent="0.25">
      <c r="A1101" t="s">
        <v>390</v>
      </c>
      <c r="C1101" s="286">
        <v>42456.174363425926</v>
      </c>
      <c r="D1101" t="s">
        <v>382</v>
      </c>
      <c r="E1101">
        <v>0</v>
      </c>
      <c r="F1101" s="287"/>
      <c r="G1101" s="287"/>
      <c r="H1101" s="287"/>
      <c r="I1101" t="s">
        <v>382</v>
      </c>
      <c r="J1101" t="s">
        <v>42</v>
      </c>
    </row>
    <row r="1102" spans="1:10" x14ac:dyDescent="0.25">
      <c r="A1102" t="s">
        <v>390</v>
      </c>
      <c r="C1102" s="286">
        <v>42456.765914351854</v>
      </c>
      <c r="D1102" t="s">
        <v>382</v>
      </c>
      <c r="E1102">
        <v>0</v>
      </c>
      <c r="F1102" s="287"/>
      <c r="G1102" s="287"/>
      <c r="H1102" s="287"/>
      <c r="I1102" t="s">
        <v>382</v>
      </c>
      <c r="J1102" t="s">
        <v>42</v>
      </c>
    </row>
    <row r="1103" spans="1:10" x14ac:dyDescent="0.25">
      <c r="A1103" t="s">
        <v>390</v>
      </c>
      <c r="C1103" s="286">
        <v>42456.800462962965</v>
      </c>
      <c r="D1103" t="s">
        <v>382</v>
      </c>
      <c r="E1103">
        <v>0</v>
      </c>
      <c r="F1103" s="287"/>
      <c r="G1103" s="287"/>
      <c r="H1103" s="287"/>
      <c r="I1103" t="s">
        <v>382</v>
      </c>
      <c r="J1103" t="s">
        <v>42</v>
      </c>
    </row>
    <row r="1104" spans="1:10" x14ac:dyDescent="0.25">
      <c r="A1104" t="s">
        <v>396</v>
      </c>
      <c r="C1104" s="286">
        <v>42456.895613425928</v>
      </c>
      <c r="D1104" t="s">
        <v>382</v>
      </c>
      <c r="E1104">
        <v>0</v>
      </c>
      <c r="F1104" s="287"/>
      <c r="G1104" s="287"/>
      <c r="H1104" s="287"/>
      <c r="I1104" t="s">
        <v>382</v>
      </c>
      <c r="J1104" t="s">
        <v>42</v>
      </c>
    </row>
    <row r="1105" spans="1:10" x14ac:dyDescent="0.25">
      <c r="A1105" t="s">
        <v>390</v>
      </c>
      <c r="C1105" s="286">
        <v>42457.796990740739</v>
      </c>
      <c r="D1105" t="s">
        <v>382</v>
      </c>
      <c r="E1105">
        <v>0</v>
      </c>
      <c r="F1105" s="287"/>
      <c r="G1105" s="287"/>
      <c r="H1105" s="287"/>
      <c r="I1105" t="s">
        <v>382</v>
      </c>
      <c r="J1105" t="s">
        <v>42</v>
      </c>
    </row>
    <row r="1106" spans="1:10" x14ac:dyDescent="0.25">
      <c r="A1106" t="s">
        <v>390</v>
      </c>
      <c r="C1106" s="286">
        <v>42457.865590277775</v>
      </c>
      <c r="D1106" t="s">
        <v>382</v>
      </c>
      <c r="E1106">
        <v>0</v>
      </c>
      <c r="F1106" s="287"/>
      <c r="G1106" s="287"/>
      <c r="H1106" s="287"/>
      <c r="I1106" t="s">
        <v>382</v>
      </c>
      <c r="J1106" t="s">
        <v>42</v>
      </c>
    </row>
    <row r="1107" spans="1:10" x14ac:dyDescent="0.25">
      <c r="A1107" t="s">
        <v>396</v>
      </c>
      <c r="C1107" s="286">
        <v>42457.936284722222</v>
      </c>
      <c r="D1107" t="s">
        <v>382</v>
      </c>
      <c r="E1107">
        <v>0</v>
      </c>
      <c r="F1107" s="287"/>
      <c r="G1107" s="287"/>
      <c r="H1107" s="287"/>
      <c r="I1107" t="s">
        <v>382</v>
      </c>
      <c r="J1107" t="s">
        <v>42</v>
      </c>
    </row>
    <row r="1108" spans="1:10" x14ac:dyDescent="0.25">
      <c r="A1108" t="s">
        <v>390</v>
      </c>
      <c r="C1108" s="286">
        <v>42458.733078703706</v>
      </c>
      <c r="D1108" t="s">
        <v>382</v>
      </c>
      <c r="E1108">
        <v>0</v>
      </c>
      <c r="F1108" s="287"/>
      <c r="G1108" s="287"/>
      <c r="H1108" s="287"/>
      <c r="I1108" t="s">
        <v>382</v>
      </c>
      <c r="J1108" t="s">
        <v>42</v>
      </c>
    </row>
    <row r="1109" spans="1:10" x14ac:dyDescent="0.25">
      <c r="A1109" t="s">
        <v>390</v>
      </c>
      <c r="C1109" s="286">
        <v>42458.943541666667</v>
      </c>
      <c r="D1109" t="s">
        <v>382</v>
      </c>
      <c r="E1109">
        <v>0</v>
      </c>
      <c r="F1109" s="287"/>
      <c r="G1109" s="287"/>
      <c r="H1109" s="287"/>
      <c r="I1109" t="s">
        <v>382</v>
      </c>
      <c r="J1109" t="s">
        <v>42</v>
      </c>
    </row>
    <row r="1110" spans="1:10" x14ac:dyDescent="0.25">
      <c r="A1110" t="s">
        <v>396</v>
      </c>
      <c r="C1110" s="286">
        <v>42459.036666666667</v>
      </c>
      <c r="D1110" t="s">
        <v>382</v>
      </c>
      <c r="E1110">
        <v>0</v>
      </c>
      <c r="F1110" s="287"/>
      <c r="G1110" s="287"/>
      <c r="H1110" s="287"/>
      <c r="I1110" t="s">
        <v>382</v>
      </c>
      <c r="J1110" t="s">
        <v>42</v>
      </c>
    </row>
    <row r="1111" spans="1:10" x14ac:dyDescent="0.25">
      <c r="A1111" t="s">
        <v>390</v>
      </c>
      <c r="C1111" s="286">
        <v>42459.459108796298</v>
      </c>
      <c r="D1111" t="s">
        <v>382</v>
      </c>
      <c r="E1111">
        <v>0</v>
      </c>
      <c r="F1111" s="287"/>
      <c r="G1111" s="287"/>
      <c r="H1111" s="287"/>
      <c r="I1111" t="s">
        <v>382</v>
      </c>
      <c r="J1111" t="s">
        <v>42</v>
      </c>
    </row>
    <row r="1112" spans="1:10" x14ac:dyDescent="0.25">
      <c r="A1112" t="s">
        <v>390</v>
      </c>
      <c r="C1112" s="286">
        <v>42459.689421296294</v>
      </c>
      <c r="D1112" t="s">
        <v>382</v>
      </c>
      <c r="E1112">
        <v>0</v>
      </c>
      <c r="F1112" s="287"/>
      <c r="G1112" s="287"/>
      <c r="H1112" s="287"/>
      <c r="I1112" t="s">
        <v>382</v>
      </c>
      <c r="J1112" t="s">
        <v>42</v>
      </c>
    </row>
    <row r="1113" spans="1:10" x14ac:dyDescent="0.25">
      <c r="A1113" t="s">
        <v>390</v>
      </c>
      <c r="C1113" s="286">
        <v>42459.718819444446</v>
      </c>
      <c r="D1113" t="s">
        <v>382</v>
      </c>
      <c r="E1113">
        <v>0</v>
      </c>
      <c r="F1113" s="287"/>
      <c r="G1113" s="287"/>
      <c r="H1113" s="287"/>
      <c r="I1113" t="s">
        <v>382</v>
      </c>
      <c r="J1113" t="s">
        <v>42</v>
      </c>
    </row>
    <row r="1114" spans="1:10" x14ac:dyDescent="0.25">
      <c r="A1114" t="s">
        <v>390</v>
      </c>
      <c r="C1114" s="286">
        <v>42459.800821759258</v>
      </c>
      <c r="D1114" t="s">
        <v>382</v>
      </c>
      <c r="E1114">
        <v>0</v>
      </c>
      <c r="F1114" s="287"/>
      <c r="G1114" s="287"/>
      <c r="H1114" s="287"/>
      <c r="I1114" t="s">
        <v>382</v>
      </c>
      <c r="J1114" t="s">
        <v>42</v>
      </c>
    </row>
    <row r="1115" spans="1:10" x14ac:dyDescent="0.25">
      <c r="A1115" t="s">
        <v>396</v>
      </c>
      <c r="C1115" s="286">
        <v>42459.902453703704</v>
      </c>
      <c r="D1115" t="s">
        <v>382</v>
      </c>
      <c r="E1115">
        <v>0</v>
      </c>
      <c r="F1115" s="287"/>
      <c r="G1115" s="287"/>
      <c r="H1115" s="287"/>
      <c r="I1115" t="s">
        <v>382</v>
      </c>
      <c r="J1115" t="s">
        <v>42</v>
      </c>
    </row>
    <row r="1116" spans="1:10" x14ac:dyDescent="0.25">
      <c r="A1116" t="s">
        <v>390</v>
      </c>
      <c r="C1116" s="286">
        <v>42460.007916666669</v>
      </c>
      <c r="D1116" t="s">
        <v>382</v>
      </c>
      <c r="E1116">
        <v>0</v>
      </c>
      <c r="F1116" s="287"/>
      <c r="G1116" s="287"/>
      <c r="H1116" s="287"/>
      <c r="I1116" t="s">
        <v>382</v>
      </c>
      <c r="J1116" t="s">
        <v>42</v>
      </c>
    </row>
    <row r="1117" spans="1:10" x14ac:dyDescent="0.25">
      <c r="A1117" t="s">
        <v>390</v>
      </c>
      <c r="C1117" s="286">
        <v>42460.662245370368</v>
      </c>
      <c r="D1117" t="s">
        <v>382</v>
      </c>
      <c r="E1117">
        <v>0</v>
      </c>
      <c r="F1117" s="287"/>
      <c r="G1117" s="287"/>
      <c r="H1117" s="287"/>
      <c r="I1117" t="s">
        <v>382</v>
      </c>
      <c r="J1117" t="s">
        <v>42</v>
      </c>
    </row>
    <row r="1118" spans="1:10" x14ac:dyDescent="0.25">
      <c r="A1118" t="s">
        <v>390</v>
      </c>
      <c r="C1118" s="286">
        <v>42460.772604166668</v>
      </c>
      <c r="D1118" t="s">
        <v>382</v>
      </c>
      <c r="E1118">
        <v>0</v>
      </c>
      <c r="F1118" s="287"/>
      <c r="G1118" s="287"/>
      <c r="H1118" s="287"/>
      <c r="I1118" t="s">
        <v>382</v>
      </c>
      <c r="J1118" t="s">
        <v>42</v>
      </c>
    </row>
    <row r="1119" spans="1:10" x14ac:dyDescent="0.25">
      <c r="A1119" t="s">
        <v>390</v>
      </c>
      <c r="C1119" s="286">
        <v>42460.840150462966</v>
      </c>
      <c r="D1119" t="s">
        <v>382</v>
      </c>
      <c r="E1119">
        <v>0</v>
      </c>
      <c r="F1119" s="287"/>
      <c r="G1119" s="287"/>
      <c r="H1119" s="287"/>
      <c r="I1119" t="s">
        <v>382</v>
      </c>
      <c r="J1119" t="s">
        <v>42</v>
      </c>
    </row>
    <row r="1120" spans="1:10" x14ac:dyDescent="0.25">
      <c r="A1120" t="s">
        <v>396</v>
      </c>
      <c r="C1120" s="286">
        <v>42460.895995370367</v>
      </c>
      <c r="D1120" t="s">
        <v>382</v>
      </c>
      <c r="E1120">
        <v>0</v>
      </c>
      <c r="F1120" s="287"/>
      <c r="G1120" s="287"/>
      <c r="H1120" s="287"/>
      <c r="I1120" t="s">
        <v>382</v>
      </c>
      <c r="J1120" t="s">
        <v>42</v>
      </c>
    </row>
    <row r="1121" spans="1:10" x14ac:dyDescent="0.25">
      <c r="A1121" t="s">
        <v>390</v>
      </c>
      <c r="C1121" s="286">
        <v>42460.980092592596</v>
      </c>
      <c r="D1121" t="s">
        <v>382</v>
      </c>
      <c r="E1121">
        <v>0</v>
      </c>
      <c r="F1121" s="287"/>
      <c r="G1121" s="287"/>
      <c r="H1121" s="287"/>
      <c r="I1121" t="s">
        <v>382</v>
      </c>
      <c r="J1121" t="s">
        <v>42</v>
      </c>
    </row>
    <row r="1122" spans="1:10" x14ac:dyDescent="0.25">
      <c r="A1122" t="s">
        <v>390</v>
      </c>
      <c r="C1122" s="286">
        <v>42461.02715277778</v>
      </c>
      <c r="D1122" t="s">
        <v>382</v>
      </c>
      <c r="E1122">
        <v>0</v>
      </c>
      <c r="F1122" s="287"/>
      <c r="G1122" s="287"/>
      <c r="H1122" s="287"/>
      <c r="I1122" t="s">
        <v>382</v>
      </c>
      <c r="J1122" t="s">
        <v>42</v>
      </c>
    </row>
    <row r="1123" spans="1:10" x14ac:dyDescent="0.25">
      <c r="A1123" t="s">
        <v>390</v>
      </c>
      <c r="C1123" s="286">
        <v>42461.800462962965</v>
      </c>
      <c r="D1123" t="s">
        <v>382</v>
      </c>
      <c r="E1123">
        <v>0</v>
      </c>
      <c r="F1123" s="287"/>
      <c r="G1123" s="287"/>
      <c r="H1123" s="287"/>
      <c r="I1123" t="s">
        <v>382</v>
      </c>
      <c r="J1123" t="s">
        <v>42</v>
      </c>
    </row>
    <row r="1124" spans="1:10" x14ac:dyDescent="0.25">
      <c r="A1124" t="s">
        <v>390</v>
      </c>
      <c r="C1124" s="286">
        <v>42461.879942129628</v>
      </c>
      <c r="D1124" t="s">
        <v>382</v>
      </c>
      <c r="E1124">
        <v>0</v>
      </c>
      <c r="F1124" s="287"/>
      <c r="G1124" s="287"/>
      <c r="H1124" s="287"/>
      <c r="I1124" t="s">
        <v>382</v>
      </c>
      <c r="J1124" t="s">
        <v>42</v>
      </c>
    </row>
    <row r="1125" spans="1:10" x14ac:dyDescent="0.25">
      <c r="A1125" t="s">
        <v>390</v>
      </c>
      <c r="C1125" s="286">
        <v>42461.931851851848</v>
      </c>
      <c r="D1125" t="s">
        <v>382</v>
      </c>
      <c r="E1125">
        <v>0</v>
      </c>
      <c r="F1125" s="287"/>
      <c r="G1125" s="287"/>
      <c r="H1125" s="287"/>
      <c r="I1125" t="s">
        <v>382</v>
      </c>
      <c r="J1125" t="s">
        <v>42</v>
      </c>
    </row>
    <row r="1126" spans="1:10" x14ac:dyDescent="0.25">
      <c r="A1126" t="s">
        <v>396</v>
      </c>
      <c r="C1126" s="286">
        <v>42461.932870370372</v>
      </c>
      <c r="D1126" t="s">
        <v>382</v>
      </c>
      <c r="E1126">
        <v>0</v>
      </c>
      <c r="F1126" s="287"/>
      <c r="G1126" s="287"/>
      <c r="H1126" s="287"/>
      <c r="I1126" t="s">
        <v>382</v>
      </c>
      <c r="J1126" t="s">
        <v>42</v>
      </c>
    </row>
    <row r="1127" spans="1:10" x14ac:dyDescent="0.25">
      <c r="A1127" t="s">
        <v>406</v>
      </c>
      <c r="C1127" s="286">
        <v>42462.079745370371</v>
      </c>
      <c r="D1127" t="s">
        <v>382</v>
      </c>
      <c r="E1127">
        <v>0</v>
      </c>
      <c r="F1127" s="287"/>
      <c r="G1127" s="287"/>
      <c r="H1127" s="287"/>
      <c r="I1127" t="s">
        <v>382</v>
      </c>
      <c r="J1127" t="s">
        <v>42</v>
      </c>
    </row>
    <row r="1128" spans="1:10" x14ac:dyDescent="0.25">
      <c r="A1128" t="s">
        <v>396</v>
      </c>
      <c r="C1128" s="286">
        <v>42462.478055555555</v>
      </c>
      <c r="D1128" t="s">
        <v>382</v>
      </c>
      <c r="E1128">
        <v>0</v>
      </c>
      <c r="F1128" s="287"/>
      <c r="G1128" s="287"/>
      <c r="H1128" s="287"/>
      <c r="I1128" t="s">
        <v>382</v>
      </c>
      <c r="J1128" t="s">
        <v>42</v>
      </c>
    </row>
    <row r="1129" spans="1:10" x14ac:dyDescent="0.25">
      <c r="A1129" t="s">
        <v>390</v>
      </c>
      <c r="C1129" s="286">
        <v>42462.522511574076</v>
      </c>
      <c r="D1129" t="s">
        <v>382</v>
      </c>
      <c r="E1129">
        <v>0</v>
      </c>
      <c r="F1129" s="287"/>
      <c r="G1129" s="287"/>
      <c r="H1129" s="287"/>
      <c r="I1129" t="s">
        <v>382</v>
      </c>
      <c r="J1129" t="s">
        <v>42</v>
      </c>
    </row>
    <row r="1130" spans="1:10" x14ac:dyDescent="0.25">
      <c r="A1130" t="s">
        <v>426</v>
      </c>
      <c r="C1130" s="286">
        <v>42462.625486111108</v>
      </c>
      <c r="D1130" t="s">
        <v>382</v>
      </c>
      <c r="E1130">
        <v>0</v>
      </c>
      <c r="F1130" s="287"/>
      <c r="G1130" s="287"/>
      <c r="H1130" s="287"/>
      <c r="I1130" t="s">
        <v>382</v>
      </c>
      <c r="J1130" t="s">
        <v>42</v>
      </c>
    </row>
    <row r="1131" spans="1:10" x14ac:dyDescent="0.25">
      <c r="A1131" t="s">
        <v>397</v>
      </c>
      <c r="C1131" s="286">
        <v>42462.65861111111</v>
      </c>
      <c r="D1131" t="s">
        <v>382</v>
      </c>
      <c r="E1131">
        <v>0</v>
      </c>
      <c r="F1131" s="287"/>
      <c r="G1131" s="287"/>
      <c r="H1131" s="287"/>
      <c r="I1131" t="s">
        <v>382</v>
      </c>
      <c r="J1131" t="s">
        <v>42</v>
      </c>
    </row>
    <row r="1132" spans="1:10" x14ac:dyDescent="0.25">
      <c r="A1132" t="s">
        <v>390</v>
      </c>
      <c r="C1132" s="286">
        <v>42462.713854166665</v>
      </c>
      <c r="D1132" t="s">
        <v>382</v>
      </c>
      <c r="E1132">
        <v>0</v>
      </c>
      <c r="F1132" s="287"/>
      <c r="G1132" s="287"/>
      <c r="H1132" s="287"/>
      <c r="I1132" t="s">
        <v>382</v>
      </c>
      <c r="J1132" t="s">
        <v>42</v>
      </c>
    </row>
    <row r="1133" spans="1:10" x14ac:dyDescent="0.25">
      <c r="A1133" t="s">
        <v>390</v>
      </c>
      <c r="C1133" s="286">
        <v>42462.771655092591</v>
      </c>
      <c r="D1133" t="s">
        <v>382</v>
      </c>
      <c r="E1133">
        <v>0</v>
      </c>
      <c r="F1133" s="287"/>
      <c r="G1133" s="287"/>
      <c r="H1133" s="287"/>
      <c r="I1133" t="s">
        <v>382</v>
      </c>
      <c r="J1133" t="s">
        <v>42</v>
      </c>
    </row>
    <row r="1134" spans="1:10" x14ac:dyDescent="0.25">
      <c r="A1134" t="s">
        <v>396</v>
      </c>
      <c r="C1134" s="286">
        <v>42462.906828703701</v>
      </c>
      <c r="D1134" t="s">
        <v>382</v>
      </c>
      <c r="E1134">
        <v>0</v>
      </c>
      <c r="F1134" s="287"/>
      <c r="G1134" s="287"/>
      <c r="H1134" s="287"/>
      <c r="I1134" t="s">
        <v>382</v>
      </c>
      <c r="J1134" t="s">
        <v>42</v>
      </c>
    </row>
    <row r="1135" spans="1:10" x14ac:dyDescent="0.25">
      <c r="A1135" t="s">
        <v>390</v>
      </c>
      <c r="C1135" s="286">
        <v>42463.025219907409</v>
      </c>
      <c r="D1135" t="s">
        <v>382</v>
      </c>
      <c r="E1135">
        <v>0</v>
      </c>
      <c r="F1135" s="287"/>
      <c r="G1135" s="287"/>
      <c r="H1135" s="287"/>
      <c r="I1135" t="s">
        <v>382</v>
      </c>
      <c r="J1135" t="s">
        <v>42</v>
      </c>
    </row>
    <row r="1136" spans="1:10" x14ac:dyDescent="0.25">
      <c r="A1136" t="s">
        <v>390</v>
      </c>
      <c r="C1136" s="286">
        <v>42463.74318287037</v>
      </c>
      <c r="D1136" t="s">
        <v>382</v>
      </c>
      <c r="E1136">
        <v>0</v>
      </c>
      <c r="F1136" s="287"/>
      <c r="G1136" s="287"/>
      <c r="H1136" s="287"/>
      <c r="I1136" t="s">
        <v>382</v>
      </c>
      <c r="J1136" t="s">
        <v>42</v>
      </c>
    </row>
    <row r="1137" spans="1:10" x14ac:dyDescent="0.25">
      <c r="A1137" t="s">
        <v>396</v>
      </c>
      <c r="C1137" s="286">
        <v>42463.933981481481</v>
      </c>
      <c r="D1137" t="s">
        <v>382</v>
      </c>
      <c r="E1137">
        <v>0</v>
      </c>
      <c r="F1137" s="287"/>
      <c r="G1137" s="287"/>
      <c r="H1137" s="287"/>
      <c r="I1137" t="s">
        <v>382</v>
      </c>
      <c r="J1137" t="s">
        <v>42</v>
      </c>
    </row>
    <row r="1138" spans="1:10" x14ac:dyDescent="0.25">
      <c r="A1138" t="s">
        <v>390</v>
      </c>
      <c r="C1138" s="286">
        <v>42464.021805555552</v>
      </c>
      <c r="D1138" t="s">
        <v>382</v>
      </c>
      <c r="E1138">
        <v>0</v>
      </c>
      <c r="F1138" s="287"/>
      <c r="G1138" s="287"/>
      <c r="H1138" s="287"/>
      <c r="I1138" t="s">
        <v>382</v>
      </c>
      <c r="J1138" t="s">
        <v>42</v>
      </c>
    </row>
    <row r="1139" spans="1:10" x14ac:dyDescent="0.25">
      <c r="A1139" t="s">
        <v>390</v>
      </c>
      <c r="C1139" s="286">
        <v>42464.729421296295</v>
      </c>
      <c r="D1139" t="s">
        <v>382</v>
      </c>
      <c r="E1139">
        <v>0</v>
      </c>
      <c r="F1139" s="287"/>
      <c r="G1139" s="287"/>
      <c r="H1139" s="287"/>
      <c r="I1139" t="s">
        <v>382</v>
      </c>
      <c r="J1139" t="s">
        <v>42</v>
      </c>
    </row>
    <row r="1140" spans="1:10" x14ac:dyDescent="0.25">
      <c r="A1140" t="s">
        <v>390</v>
      </c>
      <c r="C1140" s="286">
        <v>42464.754432870373</v>
      </c>
      <c r="D1140" t="s">
        <v>382</v>
      </c>
      <c r="E1140">
        <v>0</v>
      </c>
      <c r="F1140" s="287"/>
      <c r="G1140" s="287"/>
      <c r="H1140" s="287"/>
      <c r="I1140" t="s">
        <v>382</v>
      </c>
      <c r="J1140" t="s">
        <v>42</v>
      </c>
    </row>
    <row r="1141" spans="1:10" x14ac:dyDescent="0.25">
      <c r="A1141" t="s">
        <v>390</v>
      </c>
      <c r="C1141" s="286">
        <v>42464.770902777775</v>
      </c>
      <c r="D1141" t="s">
        <v>382</v>
      </c>
      <c r="E1141">
        <v>0</v>
      </c>
      <c r="F1141" s="287"/>
      <c r="G1141" s="287"/>
      <c r="H1141" s="287"/>
      <c r="I1141" t="s">
        <v>382</v>
      </c>
      <c r="J1141" t="s">
        <v>42</v>
      </c>
    </row>
    <row r="1142" spans="1:10" x14ac:dyDescent="0.25">
      <c r="A1142" t="s">
        <v>390</v>
      </c>
      <c r="C1142" s="286">
        <v>42464.777268518519</v>
      </c>
      <c r="D1142" t="s">
        <v>382</v>
      </c>
      <c r="E1142">
        <v>0</v>
      </c>
      <c r="F1142" s="287"/>
      <c r="G1142" s="287"/>
      <c r="H1142" s="287"/>
      <c r="I1142" t="s">
        <v>382</v>
      </c>
      <c r="J1142" t="s">
        <v>42</v>
      </c>
    </row>
    <row r="1143" spans="1:10" x14ac:dyDescent="0.25">
      <c r="A1143" t="s">
        <v>396</v>
      </c>
      <c r="C1143" s="286">
        <v>42464.92528935185</v>
      </c>
      <c r="D1143" t="s">
        <v>382</v>
      </c>
      <c r="E1143">
        <v>0</v>
      </c>
      <c r="F1143" s="287"/>
      <c r="G1143" s="287"/>
      <c r="H1143" s="287"/>
      <c r="I1143" t="s">
        <v>382</v>
      </c>
      <c r="J1143" t="s">
        <v>42</v>
      </c>
    </row>
    <row r="1144" spans="1:10" x14ac:dyDescent="0.25">
      <c r="A1144" t="s">
        <v>390</v>
      </c>
      <c r="C1144" s="286">
        <v>42465.03943287037</v>
      </c>
      <c r="D1144" t="s">
        <v>382</v>
      </c>
      <c r="E1144">
        <v>0</v>
      </c>
      <c r="F1144" s="287"/>
      <c r="G1144" s="287"/>
      <c r="H1144" s="287"/>
      <c r="I1144" t="s">
        <v>382</v>
      </c>
      <c r="J1144" t="s">
        <v>42</v>
      </c>
    </row>
    <row r="1145" spans="1:10" x14ac:dyDescent="0.25">
      <c r="A1145" t="s">
        <v>390</v>
      </c>
      <c r="C1145" s="286">
        <v>42465.05709490741</v>
      </c>
      <c r="D1145" t="s">
        <v>382</v>
      </c>
      <c r="E1145">
        <v>0</v>
      </c>
      <c r="F1145" s="287"/>
      <c r="G1145" s="287"/>
      <c r="H1145" s="287"/>
      <c r="I1145" t="s">
        <v>382</v>
      </c>
      <c r="J1145" t="s">
        <v>42</v>
      </c>
    </row>
    <row r="1146" spans="1:10" x14ac:dyDescent="0.25">
      <c r="A1146" t="s">
        <v>390</v>
      </c>
      <c r="C1146" s="286">
        <v>42465.786666666667</v>
      </c>
      <c r="D1146" t="s">
        <v>382</v>
      </c>
      <c r="E1146">
        <v>0</v>
      </c>
      <c r="F1146" s="287"/>
      <c r="G1146" s="287"/>
      <c r="H1146" s="287"/>
      <c r="I1146" t="s">
        <v>382</v>
      </c>
      <c r="J1146" t="s">
        <v>42</v>
      </c>
    </row>
    <row r="1147" spans="1:10" x14ac:dyDescent="0.25">
      <c r="A1147" t="s">
        <v>390</v>
      </c>
      <c r="C1147" s="286">
        <v>42466.015983796293</v>
      </c>
      <c r="D1147" t="s">
        <v>382</v>
      </c>
      <c r="E1147">
        <v>0</v>
      </c>
      <c r="F1147" s="287"/>
      <c r="G1147" s="287"/>
      <c r="H1147" s="287"/>
      <c r="I1147" t="s">
        <v>382</v>
      </c>
      <c r="J1147" t="s">
        <v>42</v>
      </c>
    </row>
    <row r="1148" spans="1:10" x14ac:dyDescent="0.25">
      <c r="A1148" t="s">
        <v>396</v>
      </c>
      <c r="C1148" s="286">
        <v>42466.046238425923</v>
      </c>
      <c r="D1148" t="s">
        <v>382</v>
      </c>
      <c r="E1148">
        <v>0</v>
      </c>
      <c r="F1148" s="287"/>
      <c r="G1148" s="287"/>
      <c r="H1148" s="287"/>
      <c r="I1148" t="s">
        <v>382</v>
      </c>
      <c r="J1148" t="s">
        <v>42</v>
      </c>
    </row>
    <row r="1149" spans="1:10" x14ac:dyDescent="0.25">
      <c r="A1149" t="s">
        <v>390</v>
      </c>
      <c r="C1149" s="286">
        <v>42466.081620370373</v>
      </c>
      <c r="D1149" t="s">
        <v>382</v>
      </c>
      <c r="E1149">
        <v>0</v>
      </c>
      <c r="F1149" s="287"/>
      <c r="G1149" s="287"/>
      <c r="H1149" s="287"/>
      <c r="I1149" t="s">
        <v>382</v>
      </c>
      <c r="J1149" t="s">
        <v>42</v>
      </c>
    </row>
    <row r="1150" spans="1:10" x14ac:dyDescent="0.25">
      <c r="A1150" t="s">
        <v>390</v>
      </c>
      <c r="C1150" s="286">
        <v>42466.759166666663</v>
      </c>
      <c r="D1150" t="s">
        <v>382</v>
      </c>
      <c r="E1150">
        <v>0</v>
      </c>
      <c r="F1150" s="287"/>
      <c r="G1150" s="287"/>
      <c r="H1150" s="287"/>
      <c r="I1150" t="s">
        <v>382</v>
      </c>
      <c r="J1150" t="s">
        <v>42</v>
      </c>
    </row>
    <row r="1151" spans="1:10" x14ac:dyDescent="0.25">
      <c r="A1151" t="s">
        <v>390</v>
      </c>
      <c r="C1151" s="286">
        <v>42466.772789351853</v>
      </c>
      <c r="D1151" t="s">
        <v>382</v>
      </c>
      <c r="E1151">
        <v>0</v>
      </c>
      <c r="F1151" s="287"/>
      <c r="G1151" s="287"/>
      <c r="H1151" s="287"/>
      <c r="I1151" t="s">
        <v>382</v>
      </c>
      <c r="J1151" t="s">
        <v>42</v>
      </c>
    </row>
    <row r="1152" spans="1:10" x14ac:dyDescent="0.25">
      <c r="A1152" t="s">
        <v>390</v>
      </c>
      <c r="C1152" s="286">
        <v>42466.872743055559</v>
      </c>
      <c r="D1152" t="s">
        <v>382</v>
      </c>
      <c r="E1152">
        <v>0</v>
      </c>
      <c r="F1152" s="287"/>
      <c r="G1152" s="287"/>
      <c r="H1152" s="287"/>
      <c r="I1152" t="s">
        <v>382</v>
      </c>
      <c r="J1152" t="s">
        <v>42</v>
      </c>
    </row>
    <row r="1153" spans="1:10" x14ac:dyDescent="0.25">
      <c r="A1153" t="s">
        <v>396</v>
      </c>
      <c r="C1153" s="286">
        <v>42466.908842592595</v>
      </c>
      <c r="D1153" t="s">
        <v>382</v>
      </c>
      <c r="E1153">
        <v>0</v>
      </c>
      <c r="F1153" s="287"/>
      <c r="G1153" s="287"/>
      <c r="H1153" s="287"/>
      <c r="I1153" t="s">
        <v>382</v>
      </c>
      <c r="J1153" t="s">
        <v>42</v>
      </c>
    </row>
    <row r="1154" spans="1:10" x14ac:dyDescent="0.25">
      <c r="A1154" t="s">
        <v>390</v>
      </c>
      <c r="C1154" s="286">
        <v>42467.003009259257</v>
      </c>
      <c r="D1154" t="s">
        <v>382</v>
      </c>
      <c r="E1154">
        <v>0</v>
      </c>
      <c r="F1154" s="287"/>
      <c r="G1154" s="287"/>
      <c r="H1154" s="287"/>
      <c r="I1154" t="s">
        <v>382</v>
      </c>
      <c r="J1154" t="s">
        <v>42</v>
      </c>
    </row>
    <row r="1155" spans="1:10" x14ac:dyDescent="0.25">
      <c r="A1155" t="s">
        <v>390</v>
      </c>
      <c r="C1155" s="286">
        <v>42467.683275462965</v>
      </c>
      <c r="D1155" t="s">
        <v>382</v>
      </c>
      <c r="E1155">
        <v>0</v>
      </c>
      <c r="F1155" s="287"/>
      <c r="G1155" s="287"/>
      <c r="H1155" s="287"/>
      <c r="I1155" t="s">
        <v>382</v>
      </c>
      <c r="J1155" t="s">
        <v>42</v>
      </c>
    </row>
    <row r="1156" spans="1:10" x14ac:dyDescent="0.25">
      <c r="A1156" t="s">
        <v>390</v>
      </c>
      <c r="C1156" s="286">
        <v>42467.838425925926</v>
      </c>
      <c r="D1156" t="s">
        <v>382</v>
      </c>
      <c r="E1156">
        <v>0</v>
      </c>
      <c r="F1156" s="287"/>
      <c r="G1156" s="287"/>
      <c r="H1156" s="287"/>
      <c r="I1156" t="s">
        <v>382</v>
      </c>
      <c r="J1156" t="s">
        <v>42</v>
      </c>
    </row>
    <row r="1157" spans="1:10" x14ac:dyDescent="0.25">
      <c r="A1157" t="s">
        <v>390</v>
      </c>
      <c r="C1157" s="286">
        <v>42467.855092592596</v>
      </c>
      <c r="D1157" t="s">
        <v>382</v>
      </c>
      <c r="E1157">
        <v>0</v>
      </c>
      <c r="F1157" s="287"/>
      <c r="G1157" s="287"/>
      <c r="H1157" s="287"/>
      <c r="I1157" t="s">
        <v>382</v>
      </c>
      <c r="J1157" t="s">
        <v>42</v>
      </c>
    </row>
    <row r="1158" spans="1:10" x14ac:dyDescent="0.25">
      <c r="A1158" t="s">
        <v>396</v>
      </c>
      <c r="C1158" s="286">
        <v>42467.895219907405</v>
      </c>
      <c r="D1158" t="s">
        <v>382</v>
      </c>
      <c r="E1158">
        <v>0</v>
      </c>
      <c r="F1158" s="287"/>
      <c r="G1158" s="287"/>
      <c r="H1158" s="287"/>
      <c r="I1158" t="s">
        <v>382</v>
      </c>
      <c r="J1158" t="s">
        <v>42</v>
      </c>
    </row>
    <row r="1159" spans="1:10" x14ac:dyDescent="0.25">
      <c r="A1159" t="s">
        <v>390</v>
      </c>
      <c r="C1159" s="286">
        <v>42468.000243055554</v>
      </c>
      <c r="D1159" t="s">
        <v>382</v>
      </c>
      <c r="E1159">
        <v>0</v>
      </c>
      <c r="F1159" s="287"/>
      <c r="G1159" s="287"/>
      <c r="H1159" s="287"/>
      <c r="I1159" t="s">
        <v>382</v>
      </c>
      <c r="J1159" t="s">
        <v>42</v>
      </c>
    </row>
    <row r="1160" spans="1:10" x14ac:dyDescent="0.25">
      <c r="A1160" t="s">
        <v>390</v>
      </c>
      <c r="C1160" s="286">
        <v>42468.771516203706</v>
      </c>
      <c r="D1160" t="s">
        <v>382</v>
      </c>
      <c r="E1160">
        <v>0</v>
      </c>
      <c r="F1160" s="287"/>
      <c r="G1160" s="287"/>
      <c r="H1160" s="287"/>
      <c r="I1160" t="s">
        <v>382</v>
      </c>
      <c r="J1160" t="s">
        <v>42</v>
      </c>
    </row>
    <row r="1161" spans="1:10" x14ac:dyDescent="0.25">
      <c r="A1161" t="s">
        <v>390</v>
      </c>
      <c r="C1161" s="286">
        <v>42468.799537037034</v>
      </c>
      <c r="D1161" t="s">
        <v>382</v>
      </c>
      <c r="E1161">
        <v>0</v>
      </c>
      <c r="F1161" s="287"/>
      <c r="G1161" s="287"/>
      <c r="H1161" s="287"/>
      <c r="I1161" t="s">
        <v>382</v>
      </c>
      <c r="J1161" t="s">
        <v>42</v>
      </c>
    </row>
    <row r="1162" spans="1:10" x14ac:dyDescent="0.25">
      <c r="A1162" t="s">
        <v>390</v>
      </c>
      <c r="C1162" s="286">
        <v>42468.87572916667</v>
      </c>
      <c r="D1162" t="s">
        <v>382</v>
      </c>
      <c r="E1162">
        <v>0</v>
      </c>
      <c r="F1162" s="287"/>
      <c r="G1162" s="287"/>
      <c r="H1162" s="287"/>
      <c r="I1162" t="s">
        <v>382</v>
      </c>
      <c r="J1162" t="s">
        <v>42</v>
      </c>
    </row>
    <row r="1163" spans="1:10" x14ac:dyDescent="0.25">
      <c r="A1163" t="s">
        <v>396</v>
      </c>
      <c r="C1163" s="286">
        <v>42468.910983796297</v>
      </c>
      <c r="D1163" t="s">
        <v>382</v>
      </c>
      <c r="E1163">
        <v>0</v>
      </c>
      <c r="F1163" s="287"/>
      <c r="G1163" s="287"/>
      <c r="H1163" s="287"/>
      <c r="I1163" t="s">
        <v>382</v>
      </c>
      <c r="J1163" t="s">
        <v>42</v>
      </c>
    </row>
    <row r="1164" spans="1:10" x14ac:dyDescent="0.25">
      <c r="A1164" t="s">
        <v>427</v>
      </c>
      <c r="C1164" s="286">
        <v>42469.627604166664</v>
      </c>
      <c r="D1164" t="s">
        <v>382</v>
      </c>
      <c r="E1164">
        <v>0</v>
      </c>
      <c r="F1164" s="287"/>
      <c r="G1164" s="287"/>
      <c r="H1164" s="287"/>
      <c r="I1164" t="s">
        <v>382</v>
      </c>
      <c r="J1164" t="s">
        <v>42</v>
      </c>
    </row>
    <row r="1165" spans="1:10" x14ac:dyDescent="0.25">
      <c r="A1165" t="s">
        <v>406</v>
      </c>
      <c r="C1165" s="286">
        <v>42469.762986111113</v>
      </c>
      <c r="D1165" t="s">
        <v>382</v>
      </c>
      <c r="E1165">
        <v>0</v>
      </c>
      <c r="F1165" s="287"/>
      <c r="G1165" s="287"/>
      <c r="H1165" s="287"/>
      <c r="I1165" t="s">
        <v>382</v>
      </c>
      <c r="J1165" t="s">
        <v>42</v>
      </c>
    </row>
    <row r="1166" spans="1:10" x14ac:dyDescent="0.25">
      <c r="A1166" t="s">
        <v>390</v>
      </c>
      <c r="C1166" s="286">
        <v>42469.796261574076</v>
      </c>
      <c r="D1166" t="s">
        <v>382</v>
      </c>
      <c r="E1166">
        <v>0</v>
      </c>
      <c r="F1166" s="287"/>
      <c r="G1166" s="287"/>
      <c r="H1166" s="287"/>
      <c r="I1166" t="s">
        <v>382</v>
      </c>
      <c r="J1166" t="s">
        <v>42</v>
      </c>
    </row>
    <row r="1167" spans="1:10" x14ac:dyDescent="0.25">
      <c r="A1167" t="s">
        <v>390</v>
      </c>
      <c r="C1167" s="286">
        <v>42469.87605324074</v>
      </c>
      <c r="D1167" t="s">
        <v>382</v>
      </c>
      <c r="E1167">
        <v>0</v>
      </c>
      <c r="F1167" s="287"/>
      <c r="G1167" s="287"/>
      <c r="H1167" s="287"/>
      <c r="I1167" t="s">
        <v>382</v>
      </c>
      <c r="J1167" t="s">
        <v>42</v>
      </c>
    </row>
    <row r="1168" spans="1:10" x14ac:dyDescent="0.25">
      <c r="A1168" t="s">
        <v>396</v>
      </c>
      <c r="C1168" s="286">
        <v>42469.915266203701</v>
      </c>
      <c r="D1168" t="s">
        <v>382</v>
      </c>
      <c r="E1168">
        <v>0</v>
      </c>
      <c r="F1168" s="287"/>
      <c r="G1168" s="287"/>
      <c r="H1168" s="287"/>
      <c r="I1168" t="s">
        <v>382</v>
      </c>
      <c r="J1168" t="s">
        <v>42</v>
      </c>
    </row>
    <row r="1169" spans="1:10" x14ac:dyDescent="0.25">
      <c r="A1169" t="s">
        <v>390</v>
      </c>
      <c r="C1169" s="286">
        <v>42470.108356481483</v>
      </c>
      <c r="D1169" t="s">
        <v>382</v>
      </c>
      <c r="E1169">
        <v>0</v>
      </c>
      <c r="F1169" s="287"/>
      <c r="G1169" s="287"/>
      <c r="H1169" s="287"/>
      <c r="I1169" t="s">
        <v>382</v>
      </c>
      <c r="J1169" t="s">
        <v>42</v>
      </c>
    </row>
    <row r="1170" spans="1:10" x14ac:dyDescent="0.25">
      <c r="A1170" t="s">
        <v>390</v>
      </c>
      <c r="C1170" s="286">
        <v>42470.771643518521</v>
      </c>
      <c r="D1170" t="s">
        <v>382</v>
      </c>
      <c r="E1170">
        <v>0</v>
      </c>
      <c r="F1170" s="287"/>
      <c r="G1170" s="287"/>
      <c r="H1170" s="287"/>
      <c r="I1170" t="s">
        <v>382</v>
      </c>
      <c r="J1170" t="s">
        <v>42</v>
      </c>
    </row>
    <row r="1171" spans="1:10" x14ac:dyDescent="0.25">
      <c r="A1171" t="s">
        <v>390</v>
      </c>
      <c r="C1171" s="286">
        <v>42470.817824074074</v>
      </c>
      <c r="D1171" t="s">
        <v>382</v>
      </c>
      <c r="E1171">
        <v>0</v>
      </c>
      <c r="F1171" s="287"/>
      <c r="G1171" s="287"/>
      <c r="H1171" s="287"/>
      <c r="I1171" t="s">
        <v>382</v>
      </c>
      <c r="J1171" t="s">
        <v>42</v>
      </c>
    </row>
    <row r="1172" spans="1:10" x14ac:dyDescent="0.25">
      <c r="A1172" t="s">
        <v>390</v>
      </c>
      <c r="C1172" s="286">
        <v>42470.880300925928</v>
      </c>
      <c r="D1172" t="s">
        <v>382</v>
      </c>
      <c r="E1172">
        <v>0</v>
      </c>
      <c r="F1172" s="287"/>
      <c r="G1172" s="287"/>
      <c r="H1172" s="287"/>
      <c r="I1172" t="s">
        <v>382</v>
      </c>
      <c r="J1172" t="s">
        <v>42</v>
      </c>
    </row>
    <row r="1173" spans="1:10" x14ac:dyDescent="0.25">
      <c r="A1173" t="s">
        <v>396</v>
      </c>
      <c r="C1173" s="286">
        <v>42470.898645833331</v>
      </c>
      <c r="D1173" t="s">
        <v>382</v>
      </c>
      <c r="E1173">
        <v>0</v>
      </c>
      <c r="F1173" s="287"/>
      <c r="G1173" s="287"/>
      <c r="H1173" s="287"/>
      <c r="I1173" t="s">
        <v>382</v>
      </c>
      <c r="J1173" t="s">
        <v>42</v>
      </c>
    </row>
    <row r="1174" spans="1:10" x14ac:dyDescent="0.25">
      <c r="A1174" t="s">
        <v>390</v>
      </c>
      <c r="C1174" s="286">
        <v>42471.069537037038</v>
      </c>
      <c r="D1174" t="s">
        <v>382</v>
      </c>
      <c r="E1174">
        <v>0</v>
      </c>
      <c r="F1174" s="287"/>
      <c r="G1174" s="287"/>
      <c r="H1174" s="287"/>
      <c r="I1174" t="s">
        <v>382</v>
      </c>
      <c r="J1174" t="s">
        <v>42</v>
      </c>
    </row>
    <row r="1175" spans="1:10" x14ac:dyDescent="0.25">
      <c r="A1175" t="s">
        <v>390</v>
      </c>
      <c r="C1175" s="286">
        <v>42471.146377314813</v>
      </c>
      <c r="D1175" t="s">
        <v>382</v>
      </c>
      <c r="E1175">
        <v>0</v>
      </c>
      <c r="F1175" s="287"/>
      <c r="G1175" s="287"/>
      <c r="H1175" s="287"/>
      <c r="I1175" t="s">
        <v>382</v>
      </c>
      <c r="J1175" t="s">
        <v>42</v>
      </c>
    </row>
    <row r="1176" spans="1:10" x14ac:dyDescent="0.25">
      <c r="A1176" t="s">
        <v>390</v>
      </c>
      <c r="C1176" s="286">
        <v>42471.734085648146</v>
      </c>
      <c r="D1176" t="s">
        <v>382</v>
      </c>
      <c r="E1176">
        <v>0</v>
      </c>
      <c r="F1176" s="287"/>
      <c r="G1176" s="287"/>
      <c r="H1176" s="287"/>
      <c r="I1176" t="s">
        <v>382</v>
      </c>
      <c r="J1176" t="s">
        <v>42</v>
      </c>
    </row>
    <row r="1177" spans="1:10" x14ac:dyDescent="0.25">
      <c r="A1177" t="s">
        <v>396</v>
      </c>
      <c r="C1177" s="286">
        <v>42471.916365740741</v>
      </c>
      <c r="D1177" t="s">
        <v>382</v>
      </c>
      <c r="E1177">
        <v>0</v>
      </c>
      <c r="F1177" s="287"/>
      <c r="G1177" s="287"/>
      <c r="H1177" s="287"/>
      <c r="I1177" t="s">
        <v>382</v>
      </c>
      <c r="J1177" t="s">
        <v>42</v>
      </c>
    </row>
    <row r="1178" spans="1:10" x14ac:dyDescent="0.25">
      <c r="A1178" t="s">
        <v>390</v>
      </c>
      <c r="C1178" s="286">
        <v>42471.981273148151</v>
      </c>
      <c r="D1178" t="s">
        <v>382</v>
      </c>
      <c r="E1178">
        <v>0</v>
      </c>
      <c r="F1178" s="287"/>
      <c r="G1178" s="287"/>
      <c r="H1178" s="287"/>
      <c r="I1178" t="s">
        <v>382</v>
      </c>
      <c r="J1178" t="s">
        <v>42</v>
      </c>
    </row>
    <row r="1179" spans="1:10" x14ac:dyDescent="0.25">
      <c r="A1179" t="s">
        <v>390</v>
      </c>
      <c r="C1179" s="286">
        <v>42472.742627314816</v>
      </c>
      <c r="D1179" t="s">
        <v>382</v>
      </c>
      <c r="E1179">
        <v>0</v>
      </c>
      <c r="F1179" s="287"/>
      <c r="G1179" s="287"/>
      <c r="H1179" s="287"/>
      <c r="I1179" t="s">
        <v>382</v>
      </c>
      <c r="J1179" t="s">
        <v>42</v>
      </c>
    </row>
    <row r="1180" spans="1:10" x14ac:dyDescent="0.25">
      <c r="A1180" t="s">
        <v>390</v>
      </c>
      <c r="C1180" s="286">
        <v>42472.772337962961</v>
      </c>
      <c r="D1180" t="s">
        <v>382</v>
      </c>
      <c r="E1180">
        <v>0</v>
      </c>
      <c r="F1180" s="287"/>
      <c r="G1180" s="287"/>
      <c r="H1180" s="287"/>
      <c r="I1180" t="s">
        <v>382</v>
      </c>
      <c r="J1180" t="s">
        <v>42</v>
      </c>
    </row>
    <row r="1181" spans="1:10" x14ac:dyDescent="0.25">
      <c r="A1181" t="s">
        <v>390</v>
      </c>
      <c r="C1181" s="286">
        <v>42472.961516203701</v>
      </c>
      <c r="D1181" t="s">
        <v>382</v>
      </c>
      <c r="E1181">
        <v>0</v>
      </c>
      <c r="F1181" s="287"/>
      <c r="G1181" s="287"/>
      <c r="H1181" s="287"/>
      <c r="I1181" t="s">
        <v>382</v>
      </c>
      <c r="J1181" t="s">
        <v>42</v>
      </c>
    </row>
    <row r="1182" spans="1:10" x14ac:dyDescent="0.25">
      <c r="A1182" t="s">
        <v>390</v>
      </c>
      <c r="C1182" s="286">
        <v>42472.995219907411</v>
      </c>
      <c r="D1182" t="s">
        <v>382</v>
      </c>
      <c r="E1182">
        <v>0</v>
      </c>
      <c r="F1182" s="287"/>
      <c r="G1182" s="287"/>
      <c r="H1182" s="287"/>
      <c r="I1182" t="s">
        <v>382</v>
      </c>
      <c r="J1182" t="s">
        <v>42</v>
      </c>
    </row>
    <row r="1183" spans="1:10" x14ac:dyDescent="0.25">
      <c r="A1183" t="s">
        <v>390</v>
      </c>
      <c r="C1183" s="286">
        <v>42473.008564814816</v>
      </c>
      <c r="D1183" t="s">
        <v>382</v>
      </c>
      <c r="E1183">
        <v>0</v>
      </c>
      <c r="F1183" s="287"/>
      <c r="G1183" s="287"/>
      <c r="H1183" s="287"/>
      <c r="I1183" t="s">
        <v>382</v>
      </c>
      <c r="J1183" t="s">
        <v>42</v>
      </c>
    </row>
    <row r="1184" spans="1:10" x14ac:dyDescent="0.25">
      <c r="A1184" t="s">
        <v>396</v>
      </c>
      <c r="C1184" s="286">
        <v>42473.049201388887</v>
      </c>
      <c r="D1184" t="s">
        <v>382</v>
      </c>
      <c r="E1184">
        <v>0</v>
      </c>
      <c r="F1184" s="287"/>
      <c r="G1184" s="287"/>
      <c r="H1184" s="287"/>
      <c r="I1184" t="s">
        <v>382</v>
      </c>
      <c r="J1184" t="s">
        <v>42</v>
      </c>
    </row>
    <row r="1185" spans="1:10" x14ac:dyDescent="0.25">
      <c r="A1185" t="s">
        <v>390</v>
      </c>
      <c r="C1185" s="286">
        <v>42473.536435185182</v>
      </c>
      <c r="D1185" t="s">
        <v>382</v>
      </c>
      <c r="E1185">
        <v>0</v>
      </c>
      <c r="F1185" s="287"/>
      <c r="G1185" s="287"/>
      <c r="H1185" s="287"/>
      <c r="I1185" t="s">
        <v>382</v>
      </c>
      <c r="J1185" t="s">
        <v>42</v>
      </c>
    </row>
    <row r="1186" spans="1:10" x14ac:dyDescent="0.25">
      <c r="A1186" t="s">
        <v>390</v>
      </c>
      <c r="C1186" s="286">
        <v>42473.714780092596</v>
      </c>
      <c r="D1186" t="s">
        <v>382</v>
      </c>
      <c r="E1186">
        <v>0</v>
      </c>
      <c r="F1186" s="287"/>
      <c r="G1186" s="287"/>
      <c r="H1186" s="287"/>
      <c r="I1186" t="s">
        <v>382</v>
      </c>
      <c r="J1186" t="s">
        <v>42</v>
      </c>
    </row>
    <row r="1187" spans="1:10" x14ac:dyDescent="0.25">
      <c r="A1187" t="s">
        <v>396</v>
      </c>
      <c r="C1187" s="286">
        <v>42473.885694444441</v>
      </c>
      <c r="D1187" t="s">
        <v>382</v>
      </c>
      <c r="E1187">
        <v>0</v>
      </c>
      <c r="F1187" s="287"/>
      <c r="G1187" s="287"/>
      <c r="H1187" s="287"/>
      <c r="I1187" t="s">
        <v>382</v>
      </c>
      <c r="J1187" t="s">
        <v>42</v>
      </c>
    </row>
    <row r="1188" spans="1:10" x14ac:dyDescent="0.25">
      <c r="A1188" t="s">
        <v>390</v>
      </c>
      <c r="C1188" s="286">
        <v>42473.964004629626</v>
      </c>
      <c r="D1188" t="s">
        <v>382</v>
      </c>
      <c r="E1188">
        <v>0</v>
      </c>
      <c r="F1188" s="287"/>
      <c r="G1188" s="287"/>
      <c r="H1188" s="287"/>
      <c r="I1188" t="s">
        <v>382</v>
      </c>
      <c r="J1188" t="s">
        <v>42</v>
      </c>
    </row>
    <row r="1189" spans="1:10" x14ac:dyDescent="0.25">
      <c r="A1189" t="s">
        <v>390</v>
      </c>
      <c r="C1189" s="286">
        <v>42474.505208333336</v>
      </c>
      <c r="D1189" t="s">
        <v>382</v>
      </c>
      <c r="E1189">
        <v>0</v>
      </c>
      <c r="F1189" s="287"/>
      <c r="G1189" s="287"/>
      <c r="H1189" s="287"/>
      <c r="I1189" t="s">
        <v>382</v>
      </c>
      <c r="J1189" t="s">
        <v>42</v>
      </c>
    </row>
    <row r="1190" spans="1:10" x14ac:dyDescent="0.25">
      <c r="A1190" t="s">
        <v>390</v>
      </c>
      <c r="C1190" s="286">
        <v>42474.771134259259</v>
      </c>
      <c r="D1190" t="s">
        <v>382</v>
      </c>
      <c r="E1190">
        <v>0</v>
      </c>
      <c r="F1190" s="287"/>
      <c r="G1190" s="287"/>
      <c r="H1190" s="287"/>
      <c r="I1190" t="s">
        <v>382</v>
      </c>
      <c r="J1190" t="s">
        <v>42</v>
      </c>
    </row>
    <row r="1191" spans="1:10" x14ac:dyDescent="0.25">
      <c r="A1191" t="s">
        <v>390</v>
      </c>
      <c r="C1191" s="286">
        <v>42474.791122685187</v>
      </c>
      <c r="D1191" t="s">
        <v>382</v>
      </c>
      <c r="E1191">
        <v>0</v>
      </c>
      <c r="F1191" s="287"/>
      <c r="G1191" s="287"/>
      <c r="H1191" s="287"/>
      <c r="I1191" t="s">
        <v>382</v>
      </c>
      <c r="J1191" t="s">
        <v>42</v>
      </c>
    </row>
    <row r="1192" spans="1:10" x14ac:dyDescent="0.25">
      <c r="A1192" t="s">
        <v>396</v>
      </c>
      <c r="C1192" s="286">
        <v>42474.912708333337</v>
      </c>
      <c r="D1192" t="s">
        <v>382</v>
      </c>
      <c r="E1192">
        <v>0</v>
      </c>
      <c r="F1192" s="287"/>
      <c r="G1192" s="287"/>
      <c r="H1192" s="287"/>
      <c r="I1192" t="s">
        <v>382</v>
      </c>
      <c r="J1192" t="s">
        <v>42</v>
      </c>
    </row>
    <row r="1193" spans="1:10" x14ac:dyDescent="0.25">
      <c r="A1193" t="s">
        <v>390</v>
      </c>
      <c r="C1193" s="286">
        <v>42475.01295138889</v>
      </c>
      <c r="D1193" t="s">
        <v>382</v>
      </c>
      <c r="E1193">
        <v>0</v>
      </c>
      <c r="F1193" s="287"/>
      <c r="G1193" s="287"/>
      <c r="H1193" s="287"/>
      <c r="I1193" t="s">
        <v>382</v>
      </c>
      <c r="J1193" t="s">
        <v>42</v>
      </c>
    </row>
    <row r="1194" spans="1:10" x14ac:dyDescent="0.25">
      <c r="A1194" t="s">
        <v>390</v>
      </c>
      <c r="C1194" s="286">
        <v>42475.084398148145</v>
      </c>
      <c r="D1194" t="s">
        <v>382</v>
      </c>
      <c r="E1194">
        <v>0</v>
      </c>
      <c r="F1194" s="287"/>
      <c r="G1194" s="287"/>
      <c r="H1194" s="287"/>
      <c r="I1194" t="s">
        <v>382</v>
      </c>
      <c r="J1194" t="s">
        <v>42</v>
      </c>
    </row>
    <row r="1195" spans="1:10" x14ac:dyDescent="0.25">
      <c r="A1195" t="s">
        <v>390</v>
      </c>
      <c r="C1195" s="286">
        <v>42475.744618055556</v>
      </c>
      <c r="D1195" t="s">
        <v>382</v>
      </c>
      <c r="E1195">
        <v>0</v>
      </c>
      <c r="F1195" s="287"/>
      <c r="G1195" s="287"/>
      <c r="H1195" s="287"/>
      <c r="I1195" t="s">
        <v>382</v>
      </c>
      <c r="J1195" t="s">
        <v>42</v>
      </c>
    </row>
    <row r="1196" spans="1:10" x14ac:dyDescent="0.25">
      <c r="A1196" t="s">
        <v>390</v>
      </c>
      <c r="C1196" s="286">
        <v>42475.875486111108</v>
      </c>
      <c r="D1196" t="s">
        <v>382</v>
      </c>
      <c r="E1196">
        <v>0</v>
      </c>
      <c r="F1196" s="287"/>
      <c r="G1196" s="287"/>
      <c r="H1196" s="287"/>
      <c r="I1196" t="s">
        <v>382</v>
      </c>
      <c r="J1196" t="s">
        <v>42</v>
      </c>
    </row>
    <row r="1197" spans="1:10" x14ac:dyDescent="0.25">
      <c r="A1197" t="s">
        <v>396</v>
      </c>
      <c r="C1197" s="286">
        <v>42475.904895833337</v>
      </c>
      <c r="D1197" t="s">
        <v>382</v>
      </c>
      <c r="E1197">
        <v>0</v>
      </c>
      <c r="F1197" s="287"/>
      <c r="G1197" s="287"/>
      <c r="H1197" s="287"/>
      <c r="I1197" t="s">
        <v>382</v>
      </c>
      <c r="J1197" t="s">
        <v>42</v>
      </c>
    </row>
    <row r="1198" spans="1:10" x14ac:dyDescent="0.25">
      <c r="A1198" t="s">
        <v>390</v>
      </c>
      <c r="C1198" s="286">
        <v>42475.92800925926</v>
      </c>
      <c r="D1198" t="s">
        <v>382</v>
      </c>
      <c r="E1198">
        <v>0</v>
      </c>
      <c r="F1198" s="287"/>
      <c r="G1198" s="287"/>
      <c r="H1198" s="287"/>
      <c r="I1198" t="s">
        <v>382</v>
      </c>
      <c r="J1198" t="s">
        <v>42</v>
      </c>
    </row>
    <row r="1199" spans="1:10" x14ac:dyDescent="0.25">
      <c r="A1199" t="s">
        <v>390</v>
      </c>
      <c r="C1199" s="286">
        <v>42475.976111111115</v>
      </c>
      <c r="D1199" t="s">
        <v>382</v>
      </c>
      <c r="E1199">
        <v>0</v>
      </c>
      <c r="F1199" s="287"/>
      <c r="G1199" s="287"/>
      <c r="H1199" s="287"/>
      <c r="I1199" t="s">
        <v>382</v>
      </c>
      <c r="J1199" t="s">
        <v>42</v>
      </c>
    </row>
    <row r="1200" spans="1:10" x14ac:dyDescent="0.25">
      <c r="A1200" t="s">
        <v>390</v>
      </c>
      <c r="C1200" s="286">
        <v>42476.564085648148</v>
      </c>
      <c r="D1200" t="s">
        <v>382</v>
      </c>
      <c r="E1200">
        <v>0</v>
      </c>
      <c r="F1200" s="287"/>
      <c r="G1200" s="287"/>
      <c r="H1200" s="287"/>
      <c r="I1200" t="s">
        <v>382</v>
      </c>
      <c r="J1200" t="s">
        <v>42</v>
      </c>
    </row>
    <row r="1201" spans="1:10" x14ac:dyDescent="0.25">
      <c r="A1201" t="s">
        <v>428</v>
      </c>
      <c r="C1201" s="286">
        <v>42476.625972222224</v>
      </c>
      <c r="D1201" t="s">
        <v>382</v>
      </c>
      <c r="E1201">
        <v>0</v>
      </c>
      <c r="F1201" s="287"/>
      <c r="G1201" s="287"/>
      <c r="H1201" s="287"/>
      <c r="I1201" t="s">
        <v>382</v>
      </c>
      <c r="J1201" t="s">
        <v>42</v>
      </c>
    </row>
    <row r="1202" spans="1:10" x14ac:dyDescent="0.25">
      <c r="A1202" t="s">
        <v>390</v>
      </c>
      <c r="C1202" s="286">
        <v>42476.709699074076</v>
      </c>
      <c r="D1202" t="s">
        <v>382</v>
      </c>
      <c r="E1202">
        <v>0</v>
      </c>
      <c r="F1202" s="287"/>
      <c r="G1202" s="287"/>
      <c r="H1202" s="287"/>
      <c r="I1202" t="s">
        <v>382</v>
      </c>
      <c r="J1202" t="s">
        <v>42</v>
      </c>
    </row>
    <row r="1203" spans="1:10" x14ac:dyDescent="0.25">
      <c r="A1203" t="s">
        <v>390</v>
      </c>
      <c r="C1203" s="286">
        <v>42476.77103009259</v>
      </c>
      <c r="D1203" t="s">
        <v>382</v>
      </c>
      <c r="E1203">
        <v>0</v>
      </c>
      <c r="F1203" s="287"/>
      <c r="G1203" s="287"/>
      <c r="H1203" s="287"/>
      <c r="I1203" t="s">
        <v>382</v>
      </c>
      <c r="J1203" t="s">
        <v>42</v>
      </c>
    </row>
    <row r="1204" spans="1:10" x14ac:dyDescent="0.25">
      <c r="A1204" t="s">
        <v>406</v>
      </c>
      <c r="C1204" s="286">
        <v>42476.814803240741</v>
      </c>
      <c r="D1204" t="s">
        <v>382</v>
      </c>
      <c r="E1204">
        <v>0</v>
      </c>
      <c r="F1204" s="287"/>
      <c r="G1204" s="287"/>
      <c r="H1204" s="287"/>
      <c r="I1204" t="s">
        <v>382</v>
      </c>
      <c r="J1204" t="s">
        <v>42</v>
      </c>
    </row>
    <row r="1205" spans="1:10" x14ac:dyDescent="0.25">
      <c r="A1205" t="s">
        <v>396</v>
      </c>
      <c r="C1205" s="286">
        <v>42476.918842592589</v>
      </c>
      <c r="D1205" t="s">
        <v>382</v>
      </c>
      <c r="E1205">
        <v>0</v>
      </c>
      <c r="F1205" s="287"/>
      <c r="G1205" s="287"/>
      <c r="H1205" s="287"/>
      <c r="I1205" t="s">
        <v>382</v>
      </c>
      <c r="J1205" t="s">
        <v>42</v>
      </c>
    </row>
    <row r="1206" spans="1:10" x14ac:dyDescent="0.25">
      <c r="A1206" t="s">
        <v>390</v>
      </c>
      <c r="C1206" s="286">
        <v>42477.055266203701</v>
      </c>
      <c r="D1206" t="s">
        <v>382</v>
      </c>
      <c r="E1206">
        <v>0</v>
      </c>
      <c r="F1206" s="287"/>
      <c r="G1206" s="287"/>
      <c r="H1206" s="287"/>
      <c r="I1206" t="s">
        <v>382</v>
      </c>
      <c r="J1206" t="s">
        <v>42</v>
      </c>
    </row>
    <row r="1207" spans="1:10" x14ac:dyDescent="0.25">
      <c r="A1207" t="s">
        <v>390</v>
      </c>
      <c r="C1207" s="286">
        <v>42477.600335648145</v>
      </c>
      <c r="D1207" t="s">
        <v>382</v>
      </c>
      <c r="E1207">
        <v>0</v>
      </c>
      <c r="F1207" s="287"/>
      <c r="G1207" s="287"/>
      <c r="H1207" s="287"/>
      <c r="I1207" t="s">
        <v>382</v>
      </c>
      <c r="J1207" t="s">
        <v>42</v>
      </c>
    </row>
    <row r="1208" spans="1:10" x14ac:dyDescent="0.25">
      <c r="A1208" t="s">
        <v>390</v>
      </c>
      <c r="C1208" s="286">
        <v>42477.779513888891</v>
      </c>
      <c r="D1208" t="s">
        <v>382</v>
      </c>
      <c r="E1208">
        <v>0</v>
      </c>
      <c r="F1208" s="287"/>
      <c r="G1208" s="287"/>
      <c r="H1208" s="287"/>
      <c r="I1208" t="s">
        <v>382</v>
      </c>
      <c r="J1208" t="s">
        <v>42</v>
      </c>
    </row>
    <row r="1209" spans="1:10" x14ac:dyDescent="0.25">
      <c r="A1209" t="s">
        <v>390</v>
      </c>
      <c r="C1209" s="286">
        <v>42477.795243055552</v>
      </c>
      <c r="D1209" t="s">
        <v>382</v>
      </c>
      <c r="E1209">
        <v>0</v>
      </c>
      <c r="F1209" s="287"/>
      <c r="G1209" s="287"/>
      <c r="H1209" s="287"/>
      <c r="I1209" t="s">
        <v>382</v>
      </c>
      <c r="J1209" t="s">
        <v>42</v>
      </c>
    </row>
    <row r="1210" spans="1:10" x14ac:dyDescent="0.25">
      <c r="A1210" t="s">
        <v>396</v>
      </c>
      <c r="C1210" s="286">
        <v>42477.926041666666</v>
      </c>
      <c r="D1210" t="s">
        <v>382</v>
      </c>
      <c r="E1210">
        <v>0</v>
      </c>
      <c r="F1210" s="287"/>
      <c r="G1210" s="287"/>
      <c r="H1210" s="287"/>
      <c r="I1210" t="s">
        <v>382</v>
      </c>
      <c r="J1210" t="s">
        <v>42</v>
      </c>
    </row>
    <row r="1211" spans="1:10" x14ac:dyDescent="0.25">
      <c r="A1211" t="s">
        <v>390</v>
      </c>
      <c r="C1211" s="286">
        <v>42478.015474537038</v>
      </c>
      <c r="D1211" t="s">
        <v>382</v>
      </c>
      <c r="E1211">
        <v>0</v>
      </c>
      <c r="F1211" s="287"/>
      <c r="G1211" s="287"/>
      <c r="H1211" s="287"/>
      <c r="I1211" t="s">
        <v>382</v>
      </c>
      <c r="J1211" t="s">
        <v>42</v>
      </c>
    </row>
    <row r="1212" spans="1:10" x14ac:dyDescent="0.25">
      <c r="A1212" t="s">
        <v>390</v>
      </c>
      <c r="C1212" s="286">
        <v>42478.763773148145</v>
      </c>
      <c r="D1212" t="s">
        <v>382</v>
      </c>
      <c r="E1212">
        <v>0</v>
      </c>
      <c r="F1212" s="287"/>
      <c r="G1212" s="287"/>
      <c r="H1212" s="287"/>
      <c r="I1212" t="s">
        <v>382</v>
      </c>
      <c r="J1212" t="s">
        <v>42</v>
      </c>
    </row>
    <row r="1213" spans="1:10" x14ac:dyDescent="0.25">
      <c r="A1213" t="s">
        <v>390</v>
      </c>
      <c r="C1213" s="286">
        <v>42478.879837962966</v>
      </c>
      <c r="D1213" t="s">
        <v>382</v>
      </c>
      <c r="E1213">
        <v>0</v>
      </c>
      <c r="F1213" s="287"/>
      <c r="G1213" s="287"/>
      <c r="H1213" s="287"/>
      <c r="I1213" t="s">
        <v>382</v>
      </c>
      <c r="J1213" t="s">
        <v>42</v>
      </c>
    </row>
    <row r="1214" spans="1:10" x14ac:dyDescent="0.25">
      <c r="A1214" t="s">
        <v>396</v>
      </c>
      <c r="C1214" s="286">
        <v>42478.902488425927</v>
      </c>
      <c r="D1214" t="s">
        <v>382</v>
      </c>
      <c r="E1214">
        <v>0</v>
      </c>
      <c r="F1214" s="287"/>
      <c r="G1214" s="287"/>
      <c r="H1214" s="287"/>
      <c r="I1214" t="s">
        <v>382</v>
      </c>
      <c r="J1214" t="s">
        <v>42</v>
      </c>
    </row>
    <row r="1215" spans="1:10" x14ac:dyDescent="0.25">
      <c r="A1215" t="s">
        <v>390</v>
      </c>
      <c r="C1215" s="286">
        <v>42479.731168981481</v>
      </c>
      <c r="D1215" t="s">
        <v>382</v>
      </c>
      <c r="E1215">
        <v>0</v>
      </c>
      <c r="F1215" s="287"/>
      <c r="G1215" s="287"/>
      <c r="H1215" s="287"/>
      <c r="I1215" t="s">
        <v>382</v>
      </c>
      <c r="J1215" t="s">
        <v>42</v>
      </c>
    </row>
    <row r="1216" spans="1:10" x14ac:dyDescent="0.25">
      <c r="A1216" t="s">
        <v>390</v>
      </c>
      <c r="C1216" s="286">
        <v>42480.060844907406</v>
      </c>
      <c r="D1216" t="s">
        <v>382</v>
      </c>
      <c r="E1216">
        <v>0</v>
      </c>
      <c r="F1216" s="287"/>
      <c r="G1216" s="287"/>
      <c r="H1216" s="287"/>
      <c r="I1216" t="s">
        <v>382</v>
      </c>
      <c r="J1216" t="s">
        <v>42</v>
      </c>
    </row>
    <row r="1217" spans="1:10" x14ac:dyDescent="0.25">
      <c r="A1217" t="s">
        <v>390</v>
      </c>
      <c r="C1217" s="286">
        <v>42480.0627662037</v>
      </c>
      <c r="D1217" t="s">
        <v>382</v>
      </c>
      <c r="E1217">
        <v>0</v>
      </c>
      <c r="F1217" s="287"/>
      <c r="G1217" s="287"/>
      <c r="H1217" s="287"/>
      <c r="I1217" t="s">
        <v>382</v>
      </c>
      <c r="J1217" t="s">
        <v>42</v>
      </c>
    </row>
    <row r="1218" spans="1:10" x14ac:dyDescent="0.25">
      <c r="A1218" t="s">
        <v>396</v>
      </c>
      <c r="C1218" s="286">
        <v>42480.378425925926</v>
      </c>
      <c r="D1218" t="s">
        <v>382</v>
      </c>
      <c r="E1218">
        <v>0</v>
      </c>
      <c r="F1218" s="287"/>
      <c r="G1218" s="287"/>
      <c r="H1218" s="287"/>
      <c r="I1218" t="s">
        <v>382</v>
      </c>
      <c r="J1218" t="s">
        <v>42</v>
      </c>
    </row>
    <row r="1219" spans="1:10" x14ac:dyDescent="0.25">
      <c r="A1219" t="s">
        <v>390</v>
      </c>
      <c r="C1219" s="286">
        <v>42480.742534722223</v>
      </c>
      <c r="D1219" t="s">
        <v>382</v>
      </c>
      <c r="E1219">
        <v>0</v>
      </c>
      <c r="F1219" s="287"/>
      <c r="G1219" s="287"/>
      <c r="H1219" s="287"/>
      <c r="I1219" t="s">
        <v>382</v>
      </c>
      <c r="J1219" t="s">
        <v>42</v>
      </c>
    </row>
    <row r="1220" spans="1:10" x14ac:dyDescent="0.25">
      <c r="A1220" t="s">
        <v>390</v>
      </c>
      <c r="C1220" s="286">
        <v>42480.756724537037</v>
      </c>
      <c r="D1220" t="s">
        <v>382</v>
      </c>
      <c r="E1220">
        <v>0</v>
      </c>
      <c r="F1220" s="287"/>
      <c r="G1220" s="287"/>
      <c r="H1220" s="287"/>
      <c r="I1220" t="s">
        <v>382</v>
      </c>
      <c r="J1220" t="s">
        <v>42</v>
      </c>
    </row>
    <row r="1221" spans="1:10" x14ac:dyDescent="0.25">
      <c r="A1221" t="s">
        <v>390</v>
      </c>
      <c r="C1221" s="286">
        <v>42480.784097222226</v>
      </c>
      <c r="D1221" t="s">
        <v>382</v>
      </c>
      <c r="E1221">
        <v>0</v>
      </c>
      <c r="F1221" s="287"/>
      <c r="G1221" s="287"/>
      <c r="H1221" s="287"/>
      <c r="I1221" t="s">
        <v>382</v>
      </c>
      <c r="J1221" t="s">
        <v>42</v>
      </c>
    </row>
    <row r="1222" spans="1:10" x14ac:dyDescent="0.25">
      <c r="A1222" t="s">
        <v>390</v>
      </c>
      <c r="C1222" s="286">
        <v>42480.859872685185</v>
      </c>
      <c r="D1222" t="s">
        <v>382</v>
      </c>
      <c r="E1222">
        <v>0</v>
      </c>
      <c r="F1222" s="287"/>
      <c r="G1222" s="287"/>
      <c r="H1222" s="287"/>
      <c r="I1222" t="s">
        <v>382</v>
      </c>
      <c r="J1222" t="s">
        <v>42</v>
      </c>
    </row>
    <row r="1223" spans="1:10" x14ac:dyDescent="0.25">
      <c r="A1223" t="s">
        <v>390</v>
      </c>
      <c r="C1223" s="286">
        <v>42481.752442129633</v>
      </c>
      <c r="D1223" t="s">
        <v>382</v>
      </c>
      <c r="E1223">
        <v>0</v>
      </c>
      <c r="F1223" s="287"/>
      <c r="G1223" s="287"/>
      <c r="H1223" s="287"/>
      <c r="I1223" t="s">
        <v>382</v>
      </c>
      <c r="J1223" t="s">
        <v>42</v>
      </c>
    </row>
    <row r="1224" spans="1:10" x14ac:dyDescent="0.25">
      <c r="A1224" t="s">
        <v>390</v>
      </c>
      <c r="C1224" s="286">
        <v>42481.781840277778</v>
      </c>
      <c r="D1224" t="s">
        <v>382</v>
      </c>
      <c r="E1224">
        <v>0</v>
      </c>
      <c r="F1224" s="287"/>
      <c r="G1224" s="287"/>
      <c r="H1224" s="287"/>
      <c r="I1224" t="s">
        <v>382</v>
      </c>
      <c r="J1224" t="s">
        <v>42</v>
      </c>
    </row>
    <row r="1225" spans="1:10" x14ac:dyDescent="0.25">
      <c r="A1225" t="s">
        <v>396</v>
      </c>
      <c r="C1225" s="286">
        <v>42481.89271990741</v>
      </c>
      <c r="D1225" t="s">
        <v>382</v>
      </c>
      <c r="E1225">
        <v>0</v>
      </c>
      <c r="F1225" s="287"/>
      <c r="G1225" s="287"/>
      <c r="H1225" s="287"/>
      <c r="I1225" t="s">
        <v>382</v>
      </c>
      <c r="J1225" t="s">
        <v>42</v>
      </c>
    </row>
    <row r="1226" spans="1:10" x14ac:dyDescent="0.25">
      <c r="A1226" t="s">
        <v>390</v>
      </c>
      <c r="C1226" s="286">
        <v>42482.35019675926</v>
      </c>
      <c r="D1226" t="s">
        <v>382</v>
      </c>
      <c r="E1226">
        <v>0</v>
      </c>
      <c r="F1226" s="287"/>
      <c r="G1226" s="287"/>
      <c r="H1226" s="287"/>
      <c r="I1226" t="s">
        <v>382</v>
      </c>
      <c r="J1226" t="s">
        <v>42</v>
      </c>
    </row>
    <row r="1227" spans="1:10" x14ac:dyDescent="0.25">
      <c r="A1227" t="s">
        <v>390</v>
      </c>
      <c r="C1227" s="286">
        <v>42482.702592592592</v>
      </c>
      <c r="D1227" t="s">
        <v>382</v>
      </c>
      <c r="E1227">
        <v>0</v>
      </c>
      <c r="F1227" s="287"/>
      <c r="G1227" s="287"/>
      <c r="H1227" s="287"/>
      <c r="I1227" t="s">
        <v>382</v>
      </c>
      <c r="J1227" t="s">
        <v>42</v>
      </c>
    </row>
    <row r="1228" spans="1:10" x14ac:dyDescent="0.25">
      <c r="A1228" t="s">
        <v>390</v>
      </c>
      <c r="C1228" s="286">
        <v>42482.772696759261</v>
      </c>
      <c r="D1228" t="s">
        <v>382</v>
      </c>
      <c r="E1228">
        <v>0</v>
      </c>
      <c r="F1228" s="287"/>
      <c r="G1228" s="287"/>
      <c r="H1228" s="287"/>
      <c r="I1228" t="s">
        <v>382</v>
      </c>
      <c r="J1228" t="s">
        <v>42</v>
      </c>
    </row>
    <row r="1229" spans="1:10" x14ac:dyDescent="0.25">
      <c r="A1229" t="s">
        <v>396</v>
      </c>
      <c r="C1229" s="286">
        <v>42482.903587962966</v>
      </c>
      <c r="D1229" t="s">
        <v>382</v>
      </c>
      <c r="E1229">
        <v>0</v>
      </c>
      <c r="F1229" s="287"/>
      <c r="G1229" s="287"/>
      <c r="H1229" s="287"/>
      <c r="I1229" t="s">
        <v>382</v>
      </c>
      <c r="J1229" t="s">
        <v>42</v>
      </c>
    </row>
    <row r="1230" spans="1:10" x14ac:dyDescent="0.25">
      <c r="A1230" t="s">
        <v>390</v>
      </c>
      <c r="C1230" s="286">
        <v>42483.011469907404</v>
      </c>
      <c r="D1230" t="s">
        <v>382</v>
      </c>
      <c r="E1230">
        <v>0</v>
      </c>
      <c r="F1230" s="287"/>
      <c r="G1230" s="287"/>
      <c r="H1230" s="287"/>
      <c r="I1230" t="s">
        <v>382</v>
      </c>
      <c r="J1230" t="s">
        <v>42</v>
      </c>
    </row>
    <row r="1231" spans="1:10" x14ac:dyDescent="0.25">
      <c r="A1231" t="s">
        <v>390</v>
      </c>
      <c r="C1231" s="286">
        <v>42483.61309027778</v>
      </c>
      <c r="D1231" t="s">
        <v>382</v>
      </c>
      <c r="E1231">
        <v>0</v>
      </c>
      <c r="F1231" s="287"/>
      <c r="G1231" s="287"/>
      <c r="H1231" s="287"/>
      <c r="I1231" t="s">
        <v>382</v>
      </c>
      <c r="J1231" t="s">
        <v>42</v>
      </c>
    </row>
    <row r="1232" spans="1:10" x14ac:dyDescent="0.25">
      <c r="A1232" t="s">
        <v>428</v>
      </c>
      <c r="C1232" s="286">
        <v>42483.625972222224</v>
      </c>
      <c r="D1232" t="s">
        <v>382</v>
      </c>
      <c r="E1232">
        <v>0</v>
      </c>
      <c r="F1232" s="287"/>
      <c r="G1232" s="287"/>
      <c r="H1232" s="287"/>
      <c r="I1232" t="s">
        <v>382</v>
      </c>
      <c r="J1232" t="s">
        <v>42</v>
      </c>
    </row>
    <row r="1233" spans="1:10" x14ac:dyDescent="0.25">
      <c r="A1233" t="s">
        <v>396</v>
      </c>
      <c r="C1233" s="286">
        <v>42483.909502314818</v>
      </c>
      <c r="D1233" t="s">
        <v>382</v>
      </c>
      <c r="E1233">
        <v>0</v>
      </c>
      <c r="F1233" s="287"/>
      <c r="G1233" s="287"/>
      <c r="H1233" s="287"/>
      <c r="I1233" t="s">
        <v>382</v>
      </c>
      <c r="J1233" t="s">
        <v>42</v>
      </c>
    </row>
    <row r="1234" spans="1:10" x14ac:dyDescent="0.25">
      <c r="A1234" t="s">
        <v>390</v>
      </c>
      <c r="C1234" s="286">
        <v>42484.000173611108</v>
      </c>
      <c r="D1234" t="s">
        <v>382</v>
      </c>
      <c r="E1234">
        <v>0</v>
      </c>
      <c r="F1234" s="287"/>
      <c r="G1234" s="287"/>
      <c r="H1234" s="287"/>
      <c r="I1234" t="s">
        <v>382</v>
      </c>
      <c r="J1234" t="s">
        <v>42</v>
      </c>
    </row>
    <row r="1235" spans="1:10" x14ac:dyDescent="0.25">
      <c r="A1235" t="s">
        <v>390</v>
      </c>
      <c r="C1235" s="286">
        <v>42484.096122685187</v>
      </c>
      <c r="D1235" t="s">
        <v>382</v>
      </c>
      <c r="E1235">
        <v>0</v>
      </c>
      <c r="F1235" s="287"/>
      <c r="G1235" s="287"/>
      <c r="H1235" s="287"/>
      <c r="I1235" t="s">
        <v>382</v>
      </c>
      <c r="J1235" t="s">
        <v>42</v>
      </c>
    </row>
    <row r="1236" spans="1:10" x14ac:dyDescent="0.25">
      <c r="A1236" t="s">
        <v>390</v>
      </c>
      <c r="C1236" s="286">
        <v>42484.771574074075</v>
      </c>
      <c r="D1236" t="s">
        <v>382</v>
      </c>
      <c r="E1236">
        <v>0</v>
      </c>
      <c r="F1236" s="287"/>
      <c r="G1236" s="287"/>
      <c r="H1236" s="287"/>
      <c r="I1236" t="s">
        <v>382</v>
      </c>
      <c r="J1236" t="s">
        <v>42</v>
      </c>
    </row>
    <row r="1237" spans="1:10" x14ac:dyDescent="0.25">
      <c r="A1237" t="s">
        <v>390</v>
      </c>
      <c r="C1237" s="286">
        <v>42484.79583333333</v>
      </c>
      <c r="D1237" t="s">
        <v>382</v>
      </c>
      <c r="E1237">
        <v>0</v>
      </c>
      <c r="F1237" s="287"/>
      <c r="G1237" s="287"/>
      <c r="H1237" s="287"/>
      <c r="I1237" t="s">
        <v>382</v>
      </c>
      <c r="J1237" t="s">
        <v>42</v>
      </c>
    </row>
    <row r="1238" spans="1:10" x14ac:dyDescent="0.25">
      <c r="A1238" t="s">
        <v>404</v>
      </c>
      <c r="C1238" s="286">
        <v>42484.796284722222</v>
      </c>
      <c r="D1238" t="s">
        <v>382</v>
      </c>
      <c r="E1238">
        <v>0</v>
      </c>
      <c r="F1238" s="287"/>
      <c r="G1238" s="287"/>
      <c r="H1238" s="287"/>
      <c r="I1238" t="s">
        <v>382</v>
      </c>
      <c r="J1238" t="s">
        <v>42</v>
      </c>
    </row>
    <row r="1239" spans="1:10" x14ac:dyDescent="0.25">
      <c r="A1239" t="s">
        <v>404</v>
      </c>
      <c r="C1239" s="286">
        <v>42484.796678240738</v>
      </c>
      <c r="D1239" t="s">
        <v>382</v>
      </c>
      <c r="E1239">
        <v>0</v>
      </c>
      <c r="F1239" s="287"/>
      <c r="G1239" s="287"/>
      <c r="H1239" s="287"/>
      <c r="I1239" t="s">
        <v>382</v>
      </c>
      <c r="J1239" t="s">
        <v>42</v>
      </c>
    </row>
    <row r="1240" spans="1:10" x14ac:dyDescent="0.25">
      <c r="A1240" t="s">
        <v>404</v>
      </c>
      <c r="C1240" s="286">
        <v>42484.797453703701</v>
      </c>
      <c r="D1240" t="s">
        <v>382</v>
      </c>
      <c r="E1240">
        <v>0</v>
      </c>
      <c r="F1240" s="287"/>
      <c r="G1240" s="287"/>
      <c r="H1240" s="287"/>
      <c r="I1240" t="s">
        <v>382</v>
      </c>
      <c r="J1240" t="s">
        <v>42</v>
      </c>
    </row>
    <row r="1241" spans="1:10" x14ac:dyDescent="0.25">
      <c r="A1241" t="s">
        <v>404</v>
      </c>
      <c r="C1241" s="286">
        <v>42484.79859953704</v>
      </c>
      <c r="D1241" t="s">
        <v>382</v>
      </c>
      <c r="E1241">
        <v>0</v>
      </c>
      <c r="F1241" s="287"/>
      <c r="G1241" s="287"/>
      <c r="H1241" s="287"/>
      <c r="I1241" t="s">
        <v>382</v>
      </c>
      <c r="J1241" t="s">
        <v>42</v>
      </c>
    </row>
    <row r="1242" spans="1:10" x14ac:dyDescent="0.25">
      <c r="A1242" t="s">
        <v>396</v>
      </c>
      <c r="C1242" s="286">
        <v>42484.91883101852</v>
      </c>
      <c r="D1242" t="s">
        <v>382</v>
      </c>
      <c r="E1242">
        <v>0</v>
      </c>
      <c r="F1242" s="287"/>
      <c r="G1242" s="287"/>
      <c r="H1242" s="287"/>
      <c r="I1242" t="s">
        <v>382</v>
      </c>
      <c r="J1242" t="s">
        <v>42</v>
      </c>
    </row>
    <row r="1243" spans="1:10" x14ac:dyDescent="0.25">
      <c r="A1243" t="s">
        <v>390</v>
      </c>
      <c r="C1243" s="286">
        <v>42484.979467592595</v>
      </c>
      <c r="D1243" t="s">
        <v>382</v>
      </c>
      <c r="E1243">
        <v>0</v>
      </c>
      <c r="F1243" s="287"/>
      <c r="G1243" s="287"/>
      <c r="H1243" s="287"/>
      <c r="I1243" t="s">
        <v>382</v>
      </c>
      <c r="J1243" t="s">
        <v>42</v>
      </c>
    </row>
    <row r="1244" spans="1:10" x14ac:dyDescent="0.25">
      <c r="A1244" t="s">
        <v>390</v>
      </c>
      <c r="C1244" s="286">
        <v>42485.730370370373</v>
      </c>
      <c r="D1244" t="s">
        <v>382</v>
      </c>
      <c r="E1244">
        <v>0</v>
      </c>
      <c r="F1244" s="287"/>
      <c r="G1244" s="287"/>
      <c r="H1244" s="287"/>
      <c r="I1244" t="s">
        <v>382</v>
      </c>
      <c r="J1244" t="s">
        <v>42</v>
      </c>
    </row>
    <row r="1245" spans="1:10" x14ac:dyDescent="0.25">
      <c r="A1245" t="s">
        <v>390</v>
      </c>
      <c r="C1245" s="286">
        <v>42485.796851851854</v>
      </c>
      <c r="D1245" t="s">
        <v>382</v>
      </c>
      <c r="E1245">
        <v>0</v>
      </c>
      <c r="F1245" s="287"/>
      <c r="G1245" s="287"/>
      <c r="H1245" s="287"/>
      <c r="I1245" t="s">
        <v>382</v>
      </c>
      <c r="J1245" t="s">
        <v>42</v>
      </c>
    </row>
    <row r="1246" spans="1:10" x14ac:dyDescent="0.25">
      <c r="A1246" t="s">
        <v>396</v>
      </c>
      <c r="C1246" s="286">
        <v>42485.92015046296</v>
      </c>
      <c r="D1246" t="s">
        <v>382</v>
      </c>
      <c r="E1246">
        <v>0</v>
      </c>
      <c r="F1246" s="287"/>
      <c r="G1246" s="287"/>
      <c r="H1246" s="287"/>
      <c r="I1246" t="s">
        <v>382</v>
      </c>
      <c r="J1246" t="s">
        <v>42</v>
      </c>
    </row>
    <row r="1247" spans="1:10" x14ac:dyDescent="0.25">
      <c r="A1247" t="s">
        <v>390</v>
      </c>
      <c r="C1247" s="286">
        <v>42486.212766203702</v>
      </c>
      <c r="D1247" t="s">
        <v>382</v>
      </c>
      <c r="E1247">
        <v>0</v>
      </c>
      <c r="F1247" s="287"/>
      <c r="G1247" s="287"/>
      <c r="H1247" s="287"/>
      <c r="I1247" t="s">
        <v>382</v>
      </c>
      <c r="J1247" t="s">
        <v>42</v>
      </c>
    </row>
    <row r="1248" spans="1:10" x14ac:dyDescent="0.25">
      <c r="A1248" t="s">
        <v>390</v>
      </c>
      <c r="C1248" s="286">
        <v>42486.775046296294</v>
      </c>
      <c r="D1248" t="s">
        <v>382</v>
      </c>
      <c r="E1248">
        <v>0</v>
      </c>
      <c r="F1248" s="287"/>
      <c r="G1248" s="287"/>
      <c r="H1248" s="287"/>
      <c r="I1248" t="s">
        <v>382</v>
      </c>
      <c r="J1248" t="s">
        <v>42</v>
      </c>
    </row>
    <row r="1249" spans="1:10" x14ac:dyDescent="0.25">
      <c r="A1249" t="s">
        <v>390</v>
      </c>
      <c r="C1249" s="286">
        <v>42486.804444444446</v>
      </c>
      <c r="D1249" t="s">
        <v>382</v>
      </c>
      <c r="E1249">
        <v>0</v>
      </c>
      <c r="F1249" s="287"/>
      <c r="G1249" s="287"/>
      <c r="H1249" s="287"/>
      <c r="I1249" t="s">
        <v>382</v>
      </c>
      <c r="J1249" t="s">
        <v>42</v>
      </c>
    </row>
    <row r="1250" spans="1:10" x14ac:dyDescent="0.25">
      <c r="A1250" t="s">
        <v>396</v>
      </c>
      <c r="C1250" s="286">
        <v>42486.876875000002</v>
      </c>
      <c r="D1250" t="s">
        <v>382</v>
      </c>
      <c r="E1250">
        <v>0</v>
      </c>
      <c r="F1250" s="287"/>
      <c r="G1250" s="287"/>
      <c r="H1250" s="287"/>
      <c r="I1250" t="s">
        <v>382</v>
      </c>
      <c r="J1250" t="s">
        <v>42</v>
      </c>
    </row>
    <row r="1251" spans="1:10" x14ac:dyDescent="0.25">
      <c r="A1251" t="s">
        <v>390</v>
      </c>
      <c r="C1251" s="286">
        <v>42486.960532407407</v>
      </c>
      <c r="D1251" t="s">
        <v>382</v>
      </c>
      <c r="E1251">
        <v>0</v>
      </c>
      <c r="F1251" s="287"/>
      <c r="G1251" s="287"/>
      <c r="H1251" s="287"/>
      <c r="I1251" t="s">
        <v>382</v>
      </c>
      <c r="J1251" t="s">
        <v>42</v>
      </c>
    </row>
    <row r="1252" spans="1:10" x14ac:dyDescent="0.25">
      <c r="A1252" t="s">
        <v>390</v>
      </c>
      <c r="C1252" s="286">
        <v>42487.71434027778</v>
      </c>
      <c r="D1252" t="s">
        <v>382</v>
      </c>
      <c r="E1252">
        <v>0</v>
      </c>
      <c r="F1252" s="287"/>
      <c r="G1252" s="287"/>
      <c r="H1252" s="287"/>
      <c r="I1252" t="s">
        <v>382</v>
      </c>
      <c r="J1252" t="s">
        <v>42</v>
      </c>
    </row>
    <row r="1253" spans="1:10" x14ac:dyDescent="0.25">
      <c r="A1253" t="s">
        <v>408</v>
      </c>
      <c r="C1253" s="286">
        <v>42487.717442129629</v>
      </c>
      <c r="D1253" t="s">
        <v>382</v>
      </c>
      <c r="E1253">
        <v>0</v>
      </c>
      <c r="F1253" s="287"/>
      <c r="G1253" s="287"/>
      <c r="H1253" s="287"/>
      <c r="I1253" t="s">
        <v>382</v>
      </c>
      <c r="J1253" t="s">
        <v>42</v>
      </c>
    </row>
    <row r="1254" spans="1:10" x14ac:dyDescent="0.25">
      <c r="A1254" t="s">
        <v>390</v>
      </c>
      <c r="C1254" s="286">
        <v>42487.852222222224</v>
      </c>
      <c r="D1254" t="s">
        <v>382</v>
      </c>
      <c r="E1254">
        <v>0</v>
      </c>
      <c r="F1254" s="287"/>
      <c r="G1254" s="287"/>
      <c r="H1254" s="287"/>
      <c r="I1254" t="s">
        <v>382</v>
      </c>
      <c r="J1254" t="s">
        <v>42</v>
      </c>
    </row>
    <row r="1255" spans="1:10" x14ac:dyDescent="0.25">
      <c r="A1255" t="s">
        <v>396</v>
      </c>
      <c r="C1255" s="286">
        <v>42487.922222222223</v>
      </c>
      <c r="D1255" t="s">
        <v>382</v>
      </c>
      <c r="E1255">
        <v>0</v>
      </c>
      <c r="F1255" s="287"/>
      <c r="G1255" s="287"/>
      <c r="H1255" s="287"/>
      <c r="I1255" t="s">
        <v>382</v>
      </c>
      <c r="J1255" t="s">
        <v>42</v>
      </c>
    </row>
    <row r="1256" spans="1:10" x14ac:dyDescent="0.25">
      <c r="A1256" t="s">
        <v>390</v>
      </c>
      <c r="C1256" s="286">
        <v>42488.025983796295</v>
      </c>
      <c r="D1256" t="s">
        <v>382</v>
      </c>
      <c r="E1256">
        <v>0</v>
      </c>
      <c r="F1256" s="287"/>
      <c r="G1256" s="287"/>
      <c r="H1256" s="287"/>
      <c r="I1256" t="s">
        <v>382</v>
      </c>
      <c r="J1256" t="s">
        <v>42</v>
      </c>
    </row>
    <row r="1257" spans="1:10" x14ac:dyDescent="0.25">
      <c r="A1257" t="s">
        <v>390</v>
      </c>
      <c r="C1257" s="286">
        <v>42488.771909722222</v>
      </c>
      <c r="D1257" t="s">
        <v>382</v>
      </c>
      <c r="E1257">
        <v>0</v>
      </c>
      <c r="F1257" s="287"/>
      <c r="G1257" s="287"/>
      <c r="H1257" s="287"/>
      <c r="I1257" t="s">
        <v>382</v>
      </c>
      <c r="J1257" t="s">
        <v>42</v>
      </c>
    </row>
    <row r="1258" spans="1:10" x14ac:dyDescent="0.25">
      <c r="A1258" t="s">
        <v>390</v>
      </c>
      <c r="C1258" s="286">
        <v>42488.789189814815</v>
      </c>
      <c r="D1258" t="s">
        <v>382</v>
      </c>
      <c r="E1258">
        <v>0</v>
      </c>
      <c r="F1258" s="287"/>
      <c r="G1258" s="287"/>
      <c r="H1258" s="287"/>
      <c r="I1258" t="s">
        <v>382</v>
      </c>
      <c r="J1258" t="s">
        <v>42</v>
      </c>
    </row>
    <row r="1259" spans="1:10" x14ac:dyDescent="0.25">
      <c r="A1259" t="s">
        <v>390</v>
      </c>
      <c r="C1259" s="286">
        <v>42488.846678240741</v>
      </c>
      <c r="D1259" t="s">
        <v>382</v>
      </c>
      <c r="E1259">
        <v>0</v>
      </c>
      <c r="F1259" s="287"/>
      <c r="G1259" s="287"/>
      <c r="H1259" s="287"/>
      <c r="I1259" t="s">
        <v>382</v>
      </c>
      <c r="J1259" t="s">
        <v>42</v>
      </c>
    </row>
    <row r="1260" spans="1:10" x14ac:dyDescent="0.25">
      <c r="A1260" t="s">
        <v>390</v>
      </c>
      <c r="C1260" s="286">
        <v>42488.904548611114</v>
      </c>
      <c r="D1260" t="s">
        <v>382</v>
      </c>
      <c r="E1260">
        <v>0</v>
      </c>
      <c r="F1260" s="287"/>
      <c r="G1260" s="287"/>
      <c r="H1260" s="287"/>
      <c r="I1260" t="s">
        <v>382</v>
      </c>
      <c r="J1260" t="s">
        <v>42</v>
      </c>
    </row>
    <row r="1261" spans="1:10" x14ac:dyDescent="0.25">
      <c r="A1261" t="s">
        <v>396</v>
      </c>
      <c r="C1261" s="286">
        <v>42488.922314814816</v>
      </c>
      <c r="D1261" t="s">
        <v>382</v>
      </c>
      <c r="E1261">
        <v>0</v>
      </c>
      <c r="F1261" s="287"/>
      <c r="G1261" s="287"/>
      <c r="H1261" s="287"/>
      <c r="I1261" t="s">
        <v>382</v>
      </c>
      <c r="J1261" t="s">
        <v>42</v>
      </c>
    </row>
    <row r="1262" spans="1:10" x14ac:dyDescent="0.25">
      <c r="A1262" t="s">
        <v>390</v>
      </c>
      <c r="C1262" s="286">
        <v>42488.924976851849</v>
      </c>
      <c r="D1262" t="s">
        <v>382</v>
      </c>
      <c r="E1262">
        <v>0</v>
      </c>
      <c r="F1262" s="287"/>
      <c r="G1262" s="287"/>
      <c r="H1262" s="287"/>
      <c r="I1262" t="s">
        <v>382</v>
      </c>
      <c r="J1262" t="s">
        <v>42</v>
      </c>
    </row>
    <row r="1263" spans="1:10" x14ac:dyDescent="0.25">
      <c r="A1263" t="s">
        <v>390</v>
      </c>
      <c r="C1263" s="286">
        <v>42489.112314814818</v>
      </c>
      <c r="D1263" t="s">
        <v>382</v>
      </c>
      <c r="E1263">
        <v>0</v>
      </c>
      <c r="F1263" s="287"/>
      <c r="G1263" s="287"/>
      <c r="H1263" s="287"/>
      <c r="I1263" t="s">
        <v>382</v>
      </c>
      <c r="J1263" t="s">
        <v>42</v>
      </c>
    </row>
    <row r="1264" spans="1:10" x14ac:dyDescent="0.25">
      <c r="A1264" t="s">
        <v>390</v>
      </c>
      <c r="C1264" s="286">
        <v>42489.79074074074</v>
      </c>
      <c r="D1264" t="s">
        <v>382</v>
      </c>
      <c r="E1264">
        <v>0</v>
      </c>
      <c r="F1264" s="287"/>
      <c r="G1264" s="287"/>
      <c r="H1264" s="287"/>
      <c r="I1264" t="s">
        <v>382</v>
      </c>
      <c r="J1264" t="s">
        <v>42</v>
      </c>
    </row>
    <row r="1265" spans="1:10" x14ac:dyDescent="0.25">
      <c r="A1265" t="s">
        <v>396</v>
      </c>
      <c r="C1265" s="286">
        <v>42489.907453703701</v>
      </c>
      <c r="D1265" t="s">
        <v>382</v>
      </c>
      <c r="E1265">
        <v>0</v>
      </c>
      <c r="F1265" s="287"/>
      <c r="G1265" s="287"/>
      <c r="H1265" s="287"/>
      <c r="I1265" t="s">
        <v>382</v>
      </c>
      <c r="J1265" t="s">
        <v>42</v>
      </c>
    </row>
    <row r="1266" spans="1:10" x14ac:dyDescent="0.25">
      <c r="A1266" t="s">
        <v>390</v>
      </c>
      <c r="C1266" s="286">
        <v>42490.041388888887</v>
      </c>
      <c r="D1266" t="s">
        <v>382</v>
      </c>
      <c r="E1266">
        <v>0</v>
      </c>
      <c r="F1266" s="287"/>
      <c r="G1266" s="287"/>
      <c r="H1266" s="287"/>
      <c r="I1266" t="s">
        <v>382</v>
      </c>
      <c r="J1266" t="s">
        <v>42</v>
      </c>
    </row>
    <row r="1267" spans="1:10" x14ac:dyDescent="0.25">
      <c r="A1267" t="s">
        <v>390</v>
      </c>
      <c r="C1267" s="286">
        <v>42490.084247685183</v>
      </c>
      <c r="D1267" t="s">
        <v>382</v>
      </c>
      <c r="E1267">
        <v>0</v>
      </c>
      <c r="F1267" s="287"/>
      <c r="G1267" s="287"/>
      <c r="H1267" s="287"/>
      <c r="I1267" t="s">
        <v>382</v>
      </c>
      <c r="J1267" t="s">
        <v>42</v>
      </c>
    </row>
    <row r="1268" spans="1:10" x14ac:dyDescent="0.25">
      <c r="A1268" t="s">
        <v>429</v>
      </c>
      <c r="C1268" s="286">
        <v>42490.62699074074</v>
      </c>
      <c r="D1268" t="s">
        <v>382</v>
      </c>
      <c r="E1268">
        <v>0</v>
      </c>
      <c r="F1268" s="287"/>
      <c r="G1268" s="287"/>
      <c r="H1268" s="287"/>
      <c r="I1268" t="s">
        <v>382</v>
      </c>
      <c r="J1268" t="s">
        <v>42</v>
      </c>
    </row>
    <row r="1269" spans="1:10" x14ac:dyDescent="0.25">
      <c r="A1269" t="s">
        <v>390</v>
      </c>
      <c r="C1269" s="286">
        <v>42490.876516203702</v>
      </c>
      <c r="D1269" t="s">
        <v>382</v>
      </c>
      <c r="E1269">
        <v>0</v>
      </c>
      <c r="F1269" s="287"/>
      <c r="G1269" s="287"/>
      <c r="H1269" s="287"/>
      <c r="I1269" t="s">
        <v>382</v>
      </c>
      <c r="J1269" t="s">
        <v>42</v>
      </c>
    </row>
    <row r="1270" spans="1:10" x14ac:dyDescent="0.25">
      <c r="A1270" t="s">
        <v>396</v>
      </c>
      <c r="C1270" s="286">
        <v>42490.916400462964</v>
      </c>
      <c r="D1270" t="s">
        <v>382</v>
      </c>
      <c r="E1270">
        <v>0</v>
      </c>
      <c r="F1270" s="287"/>
      <c r="G1270" s="287"/>
      <c r="H1270" s="287"/>
      <c r="I1270" t="s">
        <v>382</v>
      </c>
      <c r="J1270" t="s">
        <v>42</v>
      </c>
    </row>
    <row r="1271" spans="1:10" x14ac:dyDescent="0.25">
      <c r="A1271" t="s">
        <v>390</v>
      </c>
      <c r="C1271" s="286">
        <v>42491.065636574072</v>
      </c>
      <c r="D1271" t="s">
        <v>382</v>
      </c>
      <c r="E1271">
        <v>0</v>
      </c>
      <c r="F1271" s="287"/>
      <c r="G1271" s="287"/>
      <c r="H1271" s="287"/>
      <c r="I1271" t="s">
        <v>382</v>
      </c>
      <c r="J1271" t="s">
        <v>42</v>
      </c>
    </row>
    <row r="1272" spans="1:10" x14ac:dyDescent="0.25">
      <c r="A1272" t="s">
        <v>390</v>
      </c>
      <c r="C1272" s="286">
        <v>42491.519259259258</v>
      </c>
      <c r="D1272" t="s">
        <v>382</v>
      </c>
      <c r="E1272">
        <v>0</v>
      </c>
      <c r="F1272" s="287"/>
      <c r="G1272" s="287"/>
      <c r="H1272" s="287"/>
      <c r="I1272" t="s">
        <v>382</v>
      </c>
      <c r="J1272" t="s">
        <v>42</v>
      </c>
    </row>
    <row r="1273" spans="1:10" x14ac:dyDescent="0.25">
      <c r="A1273" t="s">
        <v>390</v>
      </c>
      <c r="C1273" s="286">
        <v>42491.772824074076</v>
      </c>
      <c r="D1273" t="s">
        <v>382</v>
      </c>
      <c r="E1273">
        <v>0</v>
      </c>
      <c r="F1273" s="287"/>
      <c r="G1273" s="287"/>
      <c r="H1273" s="287"/>
      <c r="I1273" t="s">
        <v>382</v>
      </c>
      <c r="J1273" t="s">
        <v>42</v>
      </c>
    </row>
    <row r="1274" spans="1:10" x14ac:dyDescent="0.25">
      <c r="A1274" t="s">
        <v>396</v>
      </c>
      <c r="C1274" s="286">
        <v>42491.899780092594</v>
      </c>
      <c r="D1274" t="s">
        <v>382</v>
      </c>
      <c r="E1274">
        <v>0</v>
      </c>
      <c r="F1274" s="287"/>
      <c r="G1274" s="287"/>
      <c r="H1274" s="287"/>
      <c r="I1274" t="s">
        <v>382</v>
      </c>
      <c r="J1274" t="s">
        <v>42</v>
      </c>
    </row>
    <row r="1275" spans="1:10" x14ac:dyDescent="0.25">
      <c r="A1275" t="s">
        <v>390</v>
      </c>
      <c r="C1275" s="286">
        <v>42492.001817129632</v>
      </c>
      <c r="D1275" t="s">
        <v>382</v>
      </c>
      <c r="E1275">
        <v>0</v>
      </c>
      <c r="F1275" s="287"/>
      <c r="G1275" s="287"/>
      <c r="H1275" s="287"/>
      <c r="I1275" t="s">
        <v>382</v>
      </c>
      <c r="J1275" t="s">
        <v>42</v>
      </c>
    </row>
    <row r="1276" spans="1:10" x14ac:dyDescent="0.25">
      <c r="A1276" t="s">
        <v>390</v>
      </c>
      <c r="C1276" s="286">
        <v>42492.043379629627</v>
      </c>
      <c r="D1276" t="s">
        <v>382</v>
      </c>
      <c r="E1276">
        <v>0</v>
      </c>
      <c r="F1276" s="287"/>
      <c r="G1276" s="287"/>
      <c r="H1276" s="287"/>
      <c r="I1276" t="s">
        <v>382</v>
      </c>
      <c r="J1276" t="s">
        <v>42</v>
      </c>
    </row>
    <row r="1277" spans="1:10" x14ac:dyDescent="0.25">
      <c r="A1277" t="s">
        <v>390</v>
      </c>
      <c r="C1277" s="286">
        <v>42492.772638888891</v>
      </c>
      <c r="D1277" t="s">
        <v>382</v>
      </c>
      <c r="E1277">
        <v>0</v>
      </c>
      <c r="F1277" s="287"/>
      <c r="G1277" s="287"/>
      <c r="H1277" s="287"/>
      <c r="I1277" t="s">
        <v>382</v>
      </c>
      <c r="J1277" t="s">
        <v>42</v>
      </c>
    </row>
    <row r="1278" spans="1:10" x14ac:dyDescent="0.25">
      <c r="A1278" t="s">
        <v>390</v>
      </c>
      <c r="C1278" s="286">
        <v>42492.837766203702</v>
      </c>
      <c r="D1278" t="s">
        <v>382</v>
      </c>
      <c r="E1278">
        <v>0</v>
      </c>
      <c r="F1278" s="287"/>
      <c r="G1278" s="287"/>
      <c r="H1278" s="287"/>
      <c r="I1278" t="s">
        <v>382</v>
      </c>
      <c r="J1278" t="s">
        <v>42</v>
      </c>
    </row>
    <row r="1279" spans="1:10" x14ac:dyDescent="0.25">
      <c r="A1279" t="s">
        <v>390</v>
      </c>
      <c r="C1279" s="286">
        <v>42492.901331018518</v>
      </c>
      <c r="D1279" t="s">
        <v>382</v>
      </c>
      <c r="E1279">
        <v>0</v>
      </c>
      <c r="F1279" s="287"/>
      <c r="G1279" s="287"/>
      <c r="H1279" s="287"/>
      <c r="I1279" t="s">
        <v>382</v>
      </c>
      <c r="J1279" t="s">
        <v>42</v>
      </c>
    </row>
    <row r="1280" spans="1:10" x14ac:dyDescent="0.25">
      <c r="A1280" t="s">
        <v>396</v>
      </c>
      <c r="C1280" s="286">
        <v>42492.908067129632</v>
      </c>
      <c r="D1280" t="s">
        <v>382</v>
      </c>
      <c r="E1280">
        <v>0</v>
      </c>
      <c r="F1280" s="287"/>
      <c r="G1280" s="287"/>
      <c r="H1280" s="287"/>
      <c r="I1280" t="s">
        <v>382</v>
      </c>
      <c r="J1280" t="s">
        <v>42</v>
      </c>
    </row>
    <row r="1281" spans="1:10" x14ac:dyDescent="0.25">
      <c r="A1281" t="s">
        <v>390</v>
      </c>
      <c r="C1281" s="286">
        <v>42493.423263888886</v>
      </c>
      <c r="D1281" t="s">
        <v>382</v>
      </c>
      <c r="E1281">
        <v>0</v>
      </c>
      <c r="F1281" s="287"/>
      <c r="G1281" s="287"/>
      <c r="H1281" s="287"/>
      <c r="I1281" t="s">
        <v>382</v>
      </c>
      <c r="J1281" t="s">
        <v>42</v>
      </c>
    </row>
    <row r="1282" spans="1:10" x14ac:dyDescent="0.25">
      <c r="A1282" t="s">
        <v>390</v>
      </c>
      <c r="C1282" s="286">
        <v>42493.657199074078</v>
      </c>
      <c r="D1282" t="s">
        <v>382</v>
      </c>
      <c r="E1282">
        <v>0</v>
      </c>
      <c r="F1282" s="287"/>
      <c r="G1282" s="287"/>
      <c r="H1282" s="287"/>
      <c r="I1282" t="s">
        <v>382</v>
      </c>
      <c r="J1282" t="s">
        <v>42</v>
      </c>
    </row>
    <row r="1283" spans="1:10" x14ac:dyDescent="0.25">
      <c r="A1283" t="s">
        <v>390</v>
      </c>
      <c r="C1283" s="286">
        <v>42493.750486111108</v>
      </c>
      <c r="D1283" t="s">
        <v>382</v>
      </c>
      <c r="E1283">
        <v>0</v>
      </c>
      <c r="F1283" s="287"/>
      <c r="G1283" s="287"/>
      <c r="H1283" s="287"/>
      <c r="I1283" t="s">
        <v>382</v>
      </c>
      <c r="J1283" t="s">
        <v>42</v>
      </c>
    </row>
    <row r="1284" spans="1:10" x14ac:dyDescent="0.25">
      <c r="A1284" t="s">
        <v>390</v>
      </c>
      <c r="C1284" s="286">
        <v>42493.772013888891</v>
      </c>
      <c r="D1284" t="s">
        <v>382</v>
      </c>
      <c r="E1284">
        <v>0</v>
      </c>
      <c r="F1284" s="287"/>
      <c r="G1284" s="287"/>
      <c r="H1284" s="287"/>
      <c r="I1284" t="s">
        <v>382</v>
      </c>
      <c r="J1284" t="s">
        <v>42</v>
      </c>
    </row>
    <row r="1285" spans="1:10" x14ac:dyDescent="0.25">
      <c r="A1285" t="s">
        <v>390</v>
      </c>
      <c r="C1285" s="286">
        <v>42493.812835648147</v>
      </c>
      <c r="D1285" t="s">
        <v>382</v>
      </c>
      <c r="E1285">
        <v>0</v>
      </c>
      <c r="F1285" s="287"/>
      <c r="G1285" s="287"/>
      <c r="H1285" s="287"/>
      <c r="I1285" t="s">
        <v>382</v>
      </c>
      <c r="J1285" t="s">
        <v>42</v>
      </c>
    </row>
    <row r="1286" spans="1:10" x14ac:dyDescent="0.25">
      <c r="A1286" t="s">
        <v>390</v>
      </c>
      <c r="C1286" s="286">
        <v>42494.023553240739</v>
      </c>
      <c r="D1286" t="s">
        <v>382</v>
      </c>
      <c r="E1286">
        <v>0</v>
      </c>
      <c r="F1286" s="287"/>
      <c r="G1286" s="287"/>
      <c r="H1286" s="287"/>
      <c r="I1286" t="s">
        <v>382</v>
      </c>
      <c r="J1286" t="s">
        <v>42</v>
      </c>
    </row>
    <row r="1287" spans="1:10" x14ac:dyDescent="0.25">
      <c r="A1287" t="s">
        <v>396</v>
      </c>
      <c r="C1287" s="286">
        <v>42494.377870370372</v>
      </c>
      <c r="D1287" t="s">
        <v>382</v>
      </c>
      <c r="E1287">
        <v>0</v>
      </c>
      <c r="F1287" s="287"/>
      <c r="G1287" s="287"/>
      <c r="H1287" s="287"/>
      <c r="I1287" t="s">
        <v>382</v>
      </c>
      <c r="J1287" t="s">
        <v>42</v>
      </c>
    </row>
    <row r="1288" spans="1:10" x14ac:dyDescent="0.25">
      <c r="A1288" t="s">
        <v>430</v>
      </c>
      <c r="C1288" s="286">
        <v>42494.626423611109</v>
      </c>
      <c r="D1288" t="s">
        <v>382</v>
      </c>
      <c r="E1288">
        <v>0</v>
      </c>
      <c r="F1288" s="287"/>
      <c r="G1288" s="287"/>
      <c r="H1288" s="287"/>
      <c r="I1288" t="s">
        <v>382</v>
      </c>
      <c r="J1288" t="s">
        <v>42</v>
      </c>
    </row>
    <row r="1289" spans="1:10" x14ac:dyDescent="0.25">
      <c r="A1289" t="s">
        <v>390</v>
      </c>
      <c r="C1289" s="286">
        <v>42494.721967592595</v>
      </c>
      <c r="D1289" t="s">
        <v>382</v>
      </c>
      <c r="E1289">
        <v>0</v>
      </c>
      <c r="F1289" s="287"/>
      <c r="G1289" s="287"/>
      <c r="H1289" s="287"/>
      <c r="I1289" t="s">
        <v>382</v>
      </c>
      <c r="J1289" t="s">
        <v>42</v>
      </c>
    </row>
    <row r="1290" spans="1:10" x14ac:dyDescent="0.25">
      <c r="A1290" t="s">
        <v>390</v>
      </c>
      <c r="C1290" s="286">
        <v>42495.002175925925</v>
      </c>
      <c r="D1290" t="s">
        <v>382</v>
      </c>
      <c r="E1290">
        <v>0</v>
      </c>
      <c r="F1290" s="287"/>
      <c r="G1290" s="287"/>
      <c r="H1290" s="287"/>
      <c r="I1290" t="s">
        <v>382</v>
      </c>
      <c r="J1290" t="s">
        <v>42</v>
      </c>
    </row>
    <row r="1291" spans="1:10" x14ac:dyDescent="0.25">
      <c r="A1291" t="s">
        <v>390</v>
      </c>
      <c r="C1291" s="286">
        <v>42495.062731481485</v>
      </c>
      <c r="D1291" t="s">
        <v>382</v>
      </c>
      <c r="E1291">
        <v>0</v>
      </c>
      <c r="F1291" s="287"/>
      <c r="G1291" s="287"/>
      <c r="H1291" s="287"/>
      <c r="I1291" t="s">
        <v>382</v>
      </c>
      <c r="J1291" t="s">
        <v>42</v>
      </c>
    </row>
    <row r="1292" spans="1:10" x14ac:dyDescent="0.25">
      <c r="A1292" t="s">
        <v>390</v>
      </c>
      <c r="C1292" s="286">
        <v>42495.321944444448</v>
      </c>
      <c r="D1292" t="s">
        <v>382</v>
      </c>
      <c r="E1292">
        <v>0</v>
      </c>
      <c r="F1292" s="287"/>
      <c r="G1292" s="287"/>
      <c r="H1292" s="287"/>
      <c r="I1292" t="s">
        <v>382</v>
      </c>
      <c r="J1292" t="s">
        <v>42</v>
      </c>
    </row>
    <row r="1293" spans="1:10" x14ac:dyDescent="0.25">
      <c r="A1293" t="s">
        <v>390</v>
      </c>
      <c r="C1293" s="286">
        <v>42495.482094907406</v>
      </c>
      <c r="D1293" t="s">
        <v>382</v>
      </c>
      <c r="E1293">
        <v>0</v>
      </c>
      <c r="F1293" s="287"/>
      <c r="G1293" s="287"/>
      <c r="H1293" s="287"/>
      <c r="I1293" t="s">
        <v>382</v>
      </c>
      <c r="J1293" t="s">
        <v>42</v>
      </c>
    </row>
    <row r="1294" spans="1:10" x14ac:dyDescent="0.25">
      <c r="A1294" t="s">
        <v>390</v>
      </c>
      <c r="C1294" s="286">
        <v>42495.639745370368</v>
      </c>
      <c r="D1294" t="s">
        <v>382</v>
      </c>
      <c r="E1294">
        <v>0</v>
      </c>
      <c r="F1294" s="287"/>
      <c r="G1294" s="287"/>
      <c r="H1294" s="287"/>
      <c r="I1294" t="s">
        <v>382</v>
      </c>
      <c r="J1294" t="s">
        <v>42</v>
      </c>
    </row>
    <row r="1295" spans="1:10" x14ac:dyDescent="0.25">
      <c r="A1295" t="s">
        <v>390</v>
      </c>
      <c r="C1295" s="286">
        <v>42495.772002314814</v>
      </c>
      <c r="D1295" t="s">
        <v>382</v>
      </c>
      <c r="E1295">
        <v>0</v>
      </c>
      <c r="F1295" s="287"/>
      <c r="G1295" s="287"/>
      <c r="H1295" s="287"/>
      <c r="I1295" t="s">
        <v>382</v>
      </c>
      <c r="J1295" t="s">
        <v>42</v>
      </c>
    </row>
    <row r="1296" spans="1:10" x14ac:dyDescent="0.25">
      <c r="A1296" t="s">
        <v>396</v>
      </c>
      <c r="C1296" s="286">
        <v>42495.915451388886</v>
      </c>
      <c r="D1296" t="s">
        <v>382</v>
      </c>
      <c r="E1296">
        <v>0</v>
      </c>
      <c r="F1296" s="287"/>
      <c r="G1296" s="287"/>
      <c r="H1296" s="287"/>
      <c r="I1296" t="s">
        <v>382</v>
      </c>
      <c r="J1296" t="s">
        <v>42</v>
      </c>
    </row>
    <row r="1297" spans="1:10" x14ac:dyDescent="0.25">
      <c r="A1297" t="s">
        <v>390</v>
      </c>
      <c r="C1297" s="286">
        <v>42496.044814814813</v>
      </c>
      <c r="D1297" t="s">
        <v>382</v>
      </c>
      <c r="E1297">
        <v>0</v>
      </c>
      <c r="F1297" s="287"/>
      <c r="G1297" s="287"/>
      <c r="H1297" s="287"/>
      <c r="I1297" t="s">
        <v>382</v>
      </c>
      <c r="J1297" t="s">
        <v>42</v>
      </c>
    </row>
    <row r="1298" spans="1:10" x14ac:dyDescent="0.25">
      <c r="A1298" t="s">
        <v>390</v>
      </c>
      <c r="C1298" s="286">
        <v>42496.494432870371</v>
      </c>
      <c r="D1298" t="s">
        <v>382</v>
      </c>
      <c r="E1298">
        <v>0</v>
      </c>
      <c r="F1298" s="287"/>
      <c r="G1298" s="287"/>
      <c r="H1298" s="287"/>
      <c r="I1298" t="s">
        <v>382</v>
      </c>
      <c r="J1298" t="s">
        <v>42</v>
      </c>
    </row>
    <row r="1299" spans="1:10" x14ac:dyDescent="0.25">
      <c r="A1299" t="s">
        <v>390</v>
      </c>
      <c r="C1299" s="286">
        <v>42496.751956018517</v>
      </c>
      <c r="D1299" t="s">
        <v>382</v>
      </c>
      <c r="E1299">
        <v>0</v>
      </c>
      <c r="F1299" s="287"/>
      <c r="G1299" s="287"/>
      <c r="H1299" s="287"/>
      <c r="I1299" t="s">
        <v>382</v>
      </c>
      <c r="J1299" t="s">
        <v>42</v>
      </c>
    </row>
    <row r="1300" spans="1:10" x14ac:dyDescent="0.25">
      <c r="A1300" t="s">
        <v>390</v>
      </c>
      <c r="C1300" s="286">
        <v>42496.766064814816</v>
      </c>
      <c r="D1300" t="s">
        <v>382</v>
      </c>
      <c r="E1300">
        <v>0</v>
      </c>
      <c r="F1300" s="287"/>
      <c r="G1300" s="287"/>
      <c r="H1300" s="287"/>
      <c r="I1300" t="s">
        <v>382</v>
      </c>
      <c r="J1300" t="s">
        <v>42</v>
      </c>
    </row>
    <row r="1301" spans="1:10" x14ac:dyDescent="0.25">
      <c r="A1301" t="s">
        <v>431</v>
      </c>
      <c r="C1301" s="286">
        <v>42496.779733796298</v>
      </c>
      <c r="D1301" t="s">
        <v>382</v>
      </c>
      <c r="E1301">
        <v>0</v>
      </c>
      <c r="F1301" s="287"/>
      <c r="G1301" s="287"/>
      <c r="H1301" s="287"/>
      <c r="I1301" t="s">
        <v>382</v>
      </c>
      <c r="J1301" t="s">
        <v>42</v>
      </c>
    </row>
    <row r="1302" spans="1:10" x14ac:dyDescent="0.25">
      <c r="A1302" t="s">
        <v>429</v>
      </c>
      <c r="C1302" s="286">
        <v>42496.842523148145</v>
      </c>
      <c r="D1302" t="s">
        <v>382</v>
      </c>
      <c r="E1302">
        <v>0</v>
      </c>
      <c r="F1302" s="287"/>
      <c r="G1302" s="287"/>
      <c r="H1302" s="287"/>
      <c r="I1302" t="s">
        <v>382</v>
      </c>
      <c r="J1302" t="s">
        <v>42</v>
      </c>
    </row>
    <row r="1303" spans="1:10" x14ac:dyDescent="0.25">
      <c r="A1303" t="s">
        <v>390</v>
      </c>
      <c r="C1303" s="286">
        <v>42496.846006944441</v>
      </c>
      <c r="D1303" t="s">
        <v>382</v>
      </c>
      <c r="E1303">
        <v>0</v>
      </c>
      <c r="F1303" s="287"/>
      <c r="G1303" s="287"/>
      <c r="H1303" s="287"/>
      <c r="I1303" t="s">
        <v>382</v>
      </c>
      <c r="J1303" t="s">
        <v>42</v>
      </c>
    </row>
    <row r="1304" spans="1:10" x14ac:dyDescent="0.25">
      <c r="A1304" t="s">
        <v>396</v>
      </c>
      <c r="C1304" s="286">
        <v>42496.908437500002</v>
      </c>
      <c r="D1304" t="s">
        <v>382</v>
      </c>
      <c r="E1304">
        <v>0</v>
      </c>
      <c r="F1304" s="287"/>
      <c r="G1304" s="287"/>
      <c r="H1304" s="287"/>
      <c r="I1304" t="s">
        <v>382</v>
      </c>
      <c r="J1304" t="s">
        <v>42</v>
      </c>
    </row>
    <row r="1305" spans="1:10" x14ac:dyDescent="0.25">
      <c r="A1305" t="s">
        <v>390</v>
      </c>
      <c r="C1305" s="286">
        <v>42497.023935185185</v>
      </c>
      <c r="D1305" t="s">
        <v>382</v>
      </c>
      <c r="E1305">
        <v>0</v>
      </c>
      <c r="F1305" s="287"/>
      <c r="G1305" s="287"/>
      <c r="H1305" s="287"/>
      <c r="I1305" t="s">
        <v>382</v>
      </c>
      <c r="J1305" t="s">
        <v>42</v>
      </c>
    </row>
    <row r="1306" spans="1:10" x14ac:dyDescent="0.25">
      <c r="A1306" t="s">
        <v>390</v>
      </c>
      <c r="C1306" s="286">
        <v>42497.771944444445</v>
      </c>
      <c r="D1306" t="s">
        <v>382</v>
      </c>
      <c r="E1306">
        <v>0</v>
      </c>
      <c r="F1306" s="287"/>
      <c r="G1306" s="287"/>
      <c r="H1306" s="287"/>
      <c r="I1306" t="s">
        <v>382</v>
      </c>
      <c r="J1306" t="s">
        <v>42</v>
      </c>
    </row>
    <row r="1307" spans="1:10" x14ac:dyDescent="0.25">
      <c r="A1307" t="s">
        <v>390</v>
      </c>
      <c r="C1307" s="286">
        <v>42497.797708333332</v>
      </c>
      <c r="D1307" t="s">
        <v>382</v>
      </c>
      <c r="E1307">
        <v>0</v>
      </c>
      <c r="F1307" s="287"/>
      <c r="G1307" s="287"/>
      <c r="H1307" s="287"/>
      <c r="I1307" t="s">
        <v>382</v>
      </c>
      <c r="J1307" t="s">
        <v>42</v>
      </c>
    </row>
    <row r="1308" spans="1:10" x14ac:dyDescent="0.25">
      <c r="A1308" t="s">
        <v>390</v>
      </c>
      <c r="C1308" s="286">
        <v>42497.808530092596</v>
      </c>
      <c r="D1308" t="s">
        <v>382</v>
      </c>
      <c r="E1308">
        <v>0</v>
      </c>
      <c r="F1308" s="287"/>
      <c r="G1308" s="287"/>
      <c r="H1308" s="287"/>
      <c r="I1308" t="s">
        <v>382</v>
      </c>
      <c r="J1308" t="s">
        <v>42</v>
      </c>
    </row>
    <row r="1309" spans="1:10" x14ac:dyDescent="0.25">
      <c r="A1309" t="s">
        <v>396</v>
      </c>
      <c r="C1309" s="286">
        <v>42497.897731481484</v>
      </c>
      <c r="D1309" t="s">
        <v>382</v>
      </c>
      <c r="E1309">
        <v>0</v>
      </c>
      <c r="F1309" s="287"/>
      <c r="G1309" s="287"/>
      <c r="H1309" s="287"/>
      <c r="I1309" t="s">
        <v>382</v>
      </c>
      <c r="J1309" t="s">
        <v>42</v>
      </c>
    </row>
    <row r="1310" spans="1:10" x14ac:dyDescent="0.25">
      <c r="A1310" t="s">
        <v>390</v>
      </c>
      <c r="C1310" s="286">
        <v>42498.757465277777</v>
      </c>
      <c r="D1310" t="s">
        <v>382</v>
      </c>
      <c r="E1310">
        <v>0</v>
      </c>
      <c r="F1310" s="287"/>
      <c r="G1310" s="287"/>
      <c r="H1310" s="287"/>
      <c r="I1310" t="s">
        <v>382</v>
      </c>
      <c r="J1310" t="s">
        <v>42</v>
      </c>
    </row>
    <row r="1311" spans="1:10" x14ac:dyDescent="0.25">
      <c r="A1311" t="s">
        <v>390</v>
      </c>
      <c r="C1311" s="286">
        <v>42498.771736111114</v>
      </c>
      <c r="D1311" t="s">
        <v>382</v>
      </c>
      <c r="E1311">
        <v>0</v>
      </c>
      <c r="F1311" s="287"/>
      <c r="G1311" s="287"/>
      <c r="H1311" s="287"/>
      <c r="I1311" t="s">
        <v>382</v>
      </c>
      <c r="J1311" t="s">
        <v>42</v>
      </c>
    </row>
    <row r="1312" spans="1:10" x14ac:dyDescent="0.25">
      <c r="A1312" t="s">
        <v>390</v>
      </c>
      <c r="C1312" s="286">
        <v>42498.813506944447</v>
      </c>
      <c r="D1312" t="s">
        <v>382</v>
      </c>
      <c r="E1312">
        <v>0</v>
      </c>
      <c r="F1312" s="287"/>
      <c r="G1312" s="287"/>
      <c r="H1312" s="287"/>
      <c r="I1312" t="s">
        <v>382</v>
      </c>
      <c r="J1312" t="s">
        <v>42</v>
      </c>
    </row>
    <row r="1313" spans="1:10" x14ac:dyDescent="0.25">
      <c r="A1313" t="s">
        <v>396</v>
      </c>
      <c r="C1313" s="286">
        <v>42498.914675925924</v>
      </c>
      <c r="D1313" t="s">
        <v>382</v>
      </c>
      <c r="E1313">
        <v>0</v>
      </c>
      <c r="F1313" s="287"/>
      <c r="G1313" s="287"/>
      <c r="H1313" s="287"/>
      <c r="I1313" t="s">
        <v>382</v>
      </c>
      <c r="J1313" t="s">
        <v>42</v>
      </c>
    </row>
    <row r="1314" spans="1:10" x14ac:dyDescent="0.25">
      <c r="A1314" t="s">
        <v>390</v>
      </c>
      <c r="C1314" s="286">
        <v>42499.001666666663</v>
      </c>
      <c r="D1314" t="s">
        <v>382</v>
      </c>
      <c r="E1314">
        <v>0</v>
      </c>
      <c r="F1314" s="287"/>
      <c r="G1314" s="287"/>
      <c r="H1314" s="287"/>
      <c r="I1314" t="s">
        <v>382</v>
      </c>
      <c r="J1314" t="s">
        <v>42</v>
      </c>
    </row>
    <row r="1315" spans="1:10" x14ac:dyDescent="0.25">
      <c r="A1315" t="s">
        <v>390</v>
      </c>
      <c r="C1315" s="286">
        <v>42499.138935185183</v>
      </c>
      <c r="D1315" t="s">
        <v>382</v>
      </c>
      <c r="E1315">
        <v>0</v>
      </c>
      <c r="F1315" s="287"/>
      <c r="G1315" s="287"/>
      <c r="H1315" s="287"/>
      <c r="I1315" t="s">
        <v>382</v>
      </c>
      <c r="J1315" t="s">
        <v>42</v>
      </c>
    </row>
    <row r="1316" spans="1:10" x14ac:dyDescent="0.25">
      <c r="A1316" t="s">
        <v>390</v>
      </c>
      <c r="C1316" s="286">
        <v>42499.747083333335</v>
      </c>
      <c r="D1316" t="s">
        <v>382</v>
      </c>
      <c r="E1316">
        <v>0</v>
      </c>
      <c r="F1316" s="287"/>
      <c r="G1316" s="287"/>
      <c r="H1316" s="287"/>
      <c r="I1316" t="s">
        <v>382</v>
      </c>
      <c r="J1316" t="s">
        <v>42</v>
      </c>
    </row>
    <row r="1317" spans="1:10" x14ac:dyDescent="0.25">
      <c r="A1317" t="s">
        <v>390</v>
      </c>
      <c r="C1317" s="286">
        <v>42499.877962962964</v>
      </c>
      <c r="D1317" t="s">
        <v>382</v>
      </c>
      <c r="E1317">
        <v>0</v>
      </c>
      <c r="F1317" s="287"/>
      <c r="G1317" s="287"/>
      <c r="H1317" s="287"/>
      <c r="I1317" t="s">
        <v>382</v>
      </c>
      <c r="J1317" t="s">
        <v>42</v>
      </c>
    </row>
    <row r="1318" spans="1:10" x14ac:dyDescent="0.25">
      <c r="A1318" t="s">
        <v>396</v>
      </c>
      <c r="C1318" s="286">
        <v>42499.913611111115</v>
      </c>
      <c r="D1318" t="s">
        <v>382</v>
      </c>
      <c r="E1318">
        <v>0</v>
      </c>
      <c r="F1318" s="287"/>
      <c r="G1318" s="287"/>
      <c r="H1318" s="287"/>
      <c r="I1318" t="s">
        <v>382</v>
      </c>
      <c r="J1318" t="s">
        <v>42</v>
      </c>
    </row>
    <row r="1319" spans="1:10" x14ac:dyDescent="0.25">
      <c r="A1319" t="s">
        <v>388</v>
      </c>
      <c r="C1319" s="286">
        <v>42500.606145833335</v>
      </c>
      <c r="D1319" t="s">
        <v>382</v>
      </c>
      <c r="E1319">
        <v>0</v>
      </c>
      <c r="F1319" s="287"/>
      <c r="G1319" s="287"/>
      <c r="H1319" s="287"/>
      <c r="I1319" t="s">
        <v>382</v>
      </c>
      <c r="J1319" t="s">
        <v>42</v>
      </c>
    </row>
    <row r="1320" spans="1:10" x14ac:dyDescent="0.25">
      <c r="A1320" t="s">
        <v>390</v>
      </c>
      <c r="C1320" s="286">
        <v>42500.773333333331</v>
      </c>
      <c r="D1320" t="s">
        <v>382</v>
      </c>
      <c r="E1320">
        <v>0</v>
      </c>
      <c r="F1320" s="287"/>
      <c r="G1320" s="287"/>
      <c r="H1320" s="287"/>
      <c r="I1320" t="s">
        <v>382</v>
      </c>
      <c r="J1320" t="s">
        <v>42</v>
      </c>
    </row>
    <row r="1321" spans="1:10" x14ac:dyDescent="0.25">
      <c r="A1321" t="s">
        <v>390</v>
      </c>
      <c r="C1321" s="286">
        <v>42500.827499999999</v>
      </c>
      <c r="D1321" t="s">
        <v>382</v>
      </c>
      <c r="E1321">
        <v>0</v>
      </c>
      <c r="F1321" s="287"/>
      <c r="G1321" s="287"/>
      <c r="H1321" s="287"/>
      <c r="I1321" t="s">
        <v>382</v>
      </c>
      <c r="J1321" t="s">
        <v>42</v>
      </c>
    </row>
    <row r="1322" spans="1:10" x14ac:dyDescent="0.25">
      <c r="A1322" t="s">
        <v>390</v>
      </c>
      <c r="C1322" s="286">
        <v>42501.001018518517</v>
      </c>
      <c r="D1322" t="s">
        <v>382</v>
      </c>
      <c r="E1322">
        <v>0</v>
      </c>
      <c r="F1322" s="287"/>
      <c r="G1322" s="287"/>
      <c r="H1322" s="287"/>
      <c r="I1322" t="s">
        <v>382</v>
      </c>
      <c r="J1322" t="s">
        <v>42</v>
      </c>
    </row>
    <row r="1323" spans="1:10" x14ac:dyDescent="0.25">
      <c r="A1323" t="s">
        <v>396</v>
      </c>
      <c r="C1323" s="286">
        <v>42501.352349537039</v>
      </c>
      <c r="D1323" t="s">
        <v>382</v>
      </c>
      <c r="E1323">
        <v>0</v>
      </c>
      <c r="F1323" s="287"/>
      <c r="G1323" s="287"/>
      <c r="H1323" s="287"/>
      <c r="I1323" t="s">
        <v>382</v>
      </c>
      <c r="J1323" t="s">
        <v>42</v>
      </c>
    </row>
    <row r="1324" spans="1:10" x14ac:dyDescent="0.25">
      <c r="A1324" t="s">
        <v>390</v>
      </c>
      <c r="C1324" s="286">
        <v>42501.635775462964</v>
      </c>
      <c r="D1324" t="s">
        <v>382</v>
      </c>
      <c r="E1324">
        <v>0</v>
      </c>
      <c r="F1324" s="287"/>
      <c r="G1324" s="287"/>
      <c r="H1324" s="287"/>
      <c r="I1324" t="s">
        <v>382</v>
      </c>
      <c r="J1324" t="s">
        <v>42</v>
      </c>
    </row>
    <row r="1325" spans="1:10" x14ac:dyDescent="0.25">
      <c r="A1325" t="s">
        <v>390</v>
      </c>
      <c r="C1325" s="286">
        <v>42501.858564814815</v>
      </c>
      <c r="D1325" t="s">
        <v>382</v>
      </c>
      <c r="E1325">
        <v>0</v>
      </c>
      <c r="F1325" s="287"/>
      <c r="G1325" s="287"/>
      <c r="H1325" s="287"/>
      <c r="I1325" t="s">
        <v>382</v>
      </c>
      <c r="J1325" t="s">
        <v>42</v>
      </c>
    </row>
    <row r="1326" spans="1:10" x14ac:dyDescent="0.25">
      <c r="A1326" t="s">
        <v>390</v>
      </c>
      <c r="C1326" s="286">
        <v>42501.90353009259</v>
      </c>
      <c r="D1326" t="s">
        <v>382</v>
      </c>
      <c r="E1326">
        <v>0</v>
      </c>
      <c r="F1326" s="287"/>
      <c r="G1326" s="287"/>
      <c r="H1326" s="287"/>
      <c r="I1326" t="s">
        <v>382</v>
      </c>
      <c r="J1326" t="s">
        <v>42</v>
      </c>
    </row>
    <row r="1327" spans="1:10" x14ac:dyDescent="0.25">
      <c r="A1327" t="s">
        <v>390</v>
      </c>
      <c r="C1327" s="286">
        <v>42501.997060185182</v>
      </c>
      <c r="D1327" t="s">
        <v>382</v>
      </c>
      <c r="E1327">
        <v>0</v>
      </c>
      <c r="F1327" s="287"/>
      <c r="G1327" s="287"/>
      <c r="H1327" s="287"/>
      <c r="I1327" t="s">
        <v>382</v>
      </c>
      <c r="J1327" t="s">
        <v>42</v>
      </c>
    </row>
    <row r="1328" spans="1:10" x14ac:dyDescent="0.25">
      <c r="A1328" t="s">
        <v>390</v>
      </c>
      <c r="C1328" s="286">
        <v>42502.002476851849</v>
      </c>
      <c r="D1328" t="s">
        <v>382</v>
      </c>
      <c r="E1328">
        <v>0</v>
      </c>
      <c r="F1328" s="287"/>
      <c r="G1328" s="287"/>
      <c r="H1328" s="287"/>
      <c r="I1328" t="s">
        <v>382</v>
      </c>
      <c r="J1328" t="s">
        <v>42</v>
      </c>
    </row>
    <row r="1329" spans="1:10" x14ac:dyDescent="0.25">
      <c r="A1329" t="s">
        <v>390</v>
      </c>
      <c r="C1329" s="286">
        <v>42502.586064814815</v>
      </c>
      <c r="D1329" t="s">
        <v>382</v>
      </c>
      <c r="E1329">
        <v>0</v>
      </c>
      <c r="F1329" s="287"/>
      <c r="G1329" s="287"/>
      <c r="H1329" s="287"/>
      <c r="I1329" t="s">
        <v>382</v>
      </c>
      <c r="J1329" t="s">
        <v>42</v>
      </c>
    </row>
    <row r="1330" spans="1:10" x14ac:dyDescent="0.25">
      <c r="A1330" t="s">
        <v>390</v>
      </c>
      <c r="C1330" s="286">
        <v>42502.717245370368</v>
      </c>
      <c r="D1330" t="s">
        <v>382</v>
      </c>
      <c r="E1330">
        <v>0</v>
      </c>
      <c r="F1330" s="287"/>
      <c r="G1330" s="287"/>
      <c r="H1330" s="287"/>
      <c r="I1330" t="s">
        <v>382</v>
      </c>
      <c r="J1330" t="s">
        <v>42</v>
      </c>
    </row>
    <row r="1331" spans="1:10" x14ac:dyDescent="0.25">
      <c r="A1331" t="s">
        <v>390</v>
      </c>
      <c r="C1331" s="286">
        <v>42502.746516203704</v>
      </c>
      <c r="D1331" t="s">
        <v>382</v>
      </c>
      <c r="E1331">
        <v>0</v>
      </c>
      <c r="F1331" s="287"/>
      <c r="G1331" s="287"/>
      <c r="H1331" s="287"/>
      <c r="I1331" t="s">
        <v>382</v>
      </c>
      <c r="J1331" t="s">
        <v>42</v>
      </c>
    </row>
    <row r="1332" spans="1:10" x14ac:dyDescent="0.25">
      <c r="A1332" t="s">
        <v>390</v>
      </c>
      <c r="C1332" s="286">
        <v>42502.775902777779</v>
      </c>
      <c r="D1332" t="s">
        <v>382</v>
      </c>
      <c r="E1332">
        <v>0</v>
      </c>
      <c r="F1332" s="287"/>
      <c r="G1332" s="287"/>
      <c r="H1332" s="287"/>
      <c r="I1332" t="s">
        <v>382</v>
      </c>
      <c r="J1332" t="s">
        <v>42</v>
      </c>
    </row>
    <row r="1333" spans="1:10" x14ac:dyDescent="0.25">
      <c r="A1333" t="s">
        <v>396</v>
      </c>
      <c r="C1333" s="286">
        <v>42502.916377314818</v>
      </c>
      <c r="D1333" t="s">
        <v>382</v>
      </c>
      <c r="E1333">
        <v>0</v>
      </c>
      <c r="F1333" s="287"/>
      <c r="G1333" s="287"/>
      <c r="H1333" s="287"/>
      <c r="I1333" t="s">
        <v>382</v>
      </c>
      <c r="J1333" t="s">
        <v>42</v>
      </c>
    </row>
    <row r="1334" spans="1:10" x14ac:dyDescent="0.25">
      <c r="A1334" t="s">
        <v>390</v>
      </c>
      <c r="C1334" s="286">
        <v>42502.965775462966</v>
      </c>
      <c r="D1334" t="s">
        <v>382</v>
      </c>
      <c r="E1334">
        <v>0</v>
      </c>
      <c r="F1334" s="287"/>
      <c r="G1334" s="287"/>
      <c r="H1334" s="287"/>
      <c r="I1334" t="s">
        <v>382</v>
      </c>
      <c r="J1334" t="s">
        <v>42</v>
      </c>
    </row>
    <row r="1335" spans="1:10" x14ac:dyDescent="0.25">
      <c r="A1335" t="s">
        <v>390</v>
      </c>
      <c r="C1335" s="286">
        <v>42503.084872685184</v>
      </c>
      <c r="D1335" t="s">
        <v>382</v>
      </c>
      <c r="E1335">
        <v>0</v>
      </c>
      <c r="F1335" s="287"/>
      <c r="G1335" s="287"/>
      <c r="H1335" s="287"/>
      <c r="I1335" t="s">
        <v>382</v>
      </c>
      <c r="J1335" t="s">
        <v>42</v>
      </c>
    </row>
    <row r="1336" spans="1:10" x14ac:dyDescent="0.25">
      <c r="A1336" t="s">
        <v>390</v>
      </c>
      <c r="C1336" s="286">
        <v>42503.727384259262</v>
      </c>
      <c r="D1336" t="s">
        <v>382</v>
      </c>
      <c r="E1336">
        <v>0</v>
      </c>
      <c r="F1336" s="287"/>
      <c r="G1336" s="287"/>
      <c r="H1336" s="287"/>
      <c r="I1336" t="s">
        <v>382</v>
      </c>
      <c r="J1336" t="s">
        <v>42</v>
      </c>
    </row>
    <row r="1337" spans="1:10" x14ac:dyDescent="0.25">
      <c r="A1337" t="s">
        <v>390</v>
      </c>
      <c r="C1337" s="286">
        <v>42503.771111111113</v>
      </c>
      <c r="D1337" t="s">
        <v>382</v>
      </c>
      <c r="E1337">
        <v>0</v>
      </c>
      <c r="F1337" s="287"/>
      <c r="G1337" s="287"/>
      <c r="H1337" s="287"/>
      <c r="I1337" t="s">
        <v>382</v>
      </c>
      <c r="J1337" t="s">
        <v>42</v>
      </c>
    </row>
    <row r="1338" spans="1:10" x14ac:dyDescent="0.25">
      <c r="A1338" t="s">
        <v>390</v>
      </c>
      <c r="C1338" s="286">
        <v>42503.78979166667</v>
      </c>
      <c r="D1338" t="s">
        <v>382</v>
      </c>
      <c r="E1338">
        <v>0</v>
      </c>
      <c r="F1338" s="287"/>
      <c r="G1338" s="287"/>
      <c r="H1338" s="287"/>
      <c r="I1338" t="s">
        <v>382</v>
      </c>
      <c r="J1338" t="s">
        <v>42</v>
      </c>
    </row>
    <row r="1339" spans="1:10" x14ac:dyDescent="0.25">
      <c r="A1339" t="s">
        <v>396</v>
      </c>
      <c r="C1339" s="286">
        <v>42503.915613425925</v>
      </c>
      <c r="D1339" t="s">
        <v>382</v>
      </c>
      <c r="E1339">
        <v>0</v>
      </c>
      <c r="F1339" s="287"/>
      <c r="G1339" s="287"/>
      <c r="H1339" s="287"/>
      <c r="I1339" t="s">
        <v>382</v>
      </c>
      <c r="J1339" t="s">
        <v>42</v>
      </c>
    </row>
    <row r="1340" spans="1:10" x14ac:dyDescent="0.25">
      <c r="A1340" t="s">
        <v>390</v>
      </c>
      <c r="C1340" s="286">
        <v>42504.061631944445</v>
      </c>
      <c r="D1340" t="s">
        <v>382</v>
      </c>
      <c r="E1340">
        <v>0</v>
      </c>
      <c r="F1340" s="287"/>
      <c r="G1340" s="287"/>
      <c r="H1340" s="287"/>
      <c r="I1340" t="s">
        <v>382</v>
      </c>
      <c r="J1340" t="s">
        <v>42</v>
      </c>
    </row>
    <row r="1341" spans="1:10" x14ac:dyDescent="0.25">
      <c r="A1341" t="s">
        <v>390</v>
      </c>
      <c r="C1341" s="286">
        <v>42504.586469907408</v>
      </c>
      <c r="D1341" t="s">
        <v>382</v>
      </c>
      <c r="E1341">
        <v>0</v>
      </c>
      <c r="F1341" s="287"/>
      <c r="G1341" s="287"/>
      <c r="H1341" s="287"/>
      <c r="I1341" t="s">
        <v>382</v>
      </c>
      <c r="J1341" t="s">
        <v>42</v>
      </c>
    </row>
    <row r="1342" spans="1:10" x14ac:dyDescent="0.25">
      <c r="A1342" t="s">
        <v>432</v>
      </c>
      <c r="C1342" s="286">
        <v>42504.626817129632</v>
      </c>
      <c r="D1342" t="s">
        <v>382</v>
      </c>
      <c r="E1342">
        <v>0</v>
      </c>
      <c r="F1342" s="287"/>
      <c r="G1342" s="287"/>
      <c r="H1342" s="287"/>
      <c r="I1342" t="s">
        <v>382</v>
      </c>
      <c r="J1342" t="s">
        <v>42</v>
      </c>
    </row>
    <row r="1343" spans="1:10" x14ac:dyDescent="0.25">
      <c r="A1343" t="s">
        <v>390</v>
      </c>
      <c r="C1343" s="286">
        <v>42504.772361111114</v>
      </c>
      <c r="D1343" t="s">
        <v>382</v>
      </c>
      <c r="E1343">
        <v>0</v>
      </c>
      <c r="F1343" s="287"/>
      <c r="G1343" s="287"/>
      <c r="H1343" s="287"/>
      <c r="I1343" t="s">
        <v>382</v>
      </c>
      <c r="J1343" t="s">
        <v>42</v>
      </c>
    </row>
    <row r="1344" spans="1:10" x14ac:dyDescent="0.25">
      <c r="A1344" t="s">
        <v>390</v>
      </c>
      <c r="C1344" s="286">
        <v>42504.847060185188</v>
      </c>
      <c r="D1344" t="s">
        <v>382</v>
      </c>
      <c r="E1344">
        <v>0</v>
      </c>
      <c r="F1344" s="287"/>
      <c r="G1344" s="287"/>
      <c r="H1344" s="287"/>
      <c r="I1344" t="s">
        <v>382</v>
      </c>
      <c r="J1344" t="s">
        <v>42</v>
      </c>
    </row>
    <row r="1345" spans="1:10" x14ac:dyDescent="0.25">
      <c r="A1345" t="s">
        <v>396</v>
      </c>
      <c r="C1345" s="286">
        <v>42504.926817129628</v>
      </c>
      <c r="D1345" t="s">
        <v>382</v>
      </c>
      <c r="E1345">
        <v>0</v>
      </c>
      <c r="F1345" s="287"/>
      <c r="G1345" s="287"/>
      <c r="H1345" s="287"/>
      <c r="I1345" t="s">
        <v>382</v>
      </c>
      <c r="J1345" t="s">
        <v>42</v>
      </c>
    </row>
    <row r="1346" spans="1:10" x14ac:dyDescent="0.25">
      <c r="A1346" t="s">
        <v>390</v>
      </c>
      <c r="C1346" s="286">
        <v>42505.77306712963</v>
      </c>
      <c r="D1346" t="s">
        <v>382</v>
      </c>
      <c r="E1346">
        <v>0</v>
      </c>
      <c r="F1346" s="287"/>
      <c r="G1346" s="287"/>
      <c r="H1346" s="287"/>
      <c r="I1346" t="s">
        <v>382</v>
      </c>
      <c r="J1346" t="s">
        <v>42</v>
      </c>
    </row>
    <row r="1347" spans="1:10" x14ac:dyDescent="0.25">
      <c r="A1347" t="s">
        <v>390</v>
      </c>
      <c r="C1347" s="286">
        <v>42505.773078703707</v>
      </c>
      <c r="D1347" t="s">
        <v>382</v>
      </c>
      <c r="E1347">
        <v>0</v>
      </c>
      <c r="F1347" s="287"/>
      <c r="G1347" s="287"/>
      <c r="H1347" s="287"/>
      <c r="I1347" t="s">
        <v>382</v>
      </c>
      <c r="J1347" t="s">
        <v>42</v>
      </c>
    </row>
    <row r="1348" spans="1:10" x14ac:dyDescent="0.25">
      <c r="A1348" t="s">
        <v>390</v>
      </c>
      <c r="C1348" s="286">
        <v>42505.799756944441</v>
      </c>
      <c r="D1348" t="s">
        <v>382</v>
      </c>
      <c r="E1348">
        <v>0</v>
      </c>
      <c r="F1348" s="287"/>
      <c r="G1348" s="287"/>
      <c r="H1348" s="287"/>
      <c r="I1348" t="s">
        <v>382</v>
      </c>
      <c r="J1348" t="s">
        <v>42</v>
      </c>
    </row>
    <row r="1349" spans="1:10" x14ac:dyDescent="0.25">
      <c r="A1349" t="s">
        <v>396</v>
      </c>
      <c r="C1349" s="286">
        <v>42505.908819444441</v>
      </c>
      <c r="D1349" t="s">
        <v>382</v>
      </c>
      <c r="E1349">
        <v>0</v>
      </c>
      <c r="F1349" s="287"/>
      <c r="G1349" s="287"/>
      <c r="H1349" s="287"/>
      <c r="I1349" t="s">
        <v>382</v>
      </c>
      <c r="J1349" t="s">
        <v>42</v>
      </c>
    </row>
    <row r="1350" spans="1:10" x14ac:dyDescent="0.25">
      <c r="A1350" t="s">
        <v>390</v>
      </c>
      <c r="C1350" s="286">
        <v>42506.088553240741</v>
      </c>
      <c r="D1350" t="s">
        <v>382</v>
      </c>
      <c r="E1350">
        <v>0</v>
      </c>
      <c r="F1350" s="287"/>
      <c r="G1350" s="287"/>
      <c r="H1350" s="287"/>
      <c r="I1350" t="s">
        <v>382</v>
      </c>
      <c r="J1350" t="s">
        <v>42</v>
      </c>
    </row>
    <row r="1351" spans="1:10" x14ac:dyDescent="0.25">
      <c r="A1351" t="s">
        <v>390</v>
      </c>
      <c r="C1351" s="286">
        <v>42506.518599537034</v>
      </c>
      <c r="D1351" t="s">
        <v>382</v>
      </c>
      <c r="E1351">
        <v>0</v>
      </c>
      <c r="F1351" s="287"/>
      <c r="G1351" s="287"/>
      <c r="H1351" s="287"/>
      <c r="I1351" t="s">
        <v>382</v>
      </c>
      <c r="J1351" t="s">
        <v>42</v>
      </c>
    </row>
    <row r="1352" spans="1:10" x14ac:dyDescent="0.25">
      <c r="A1352" t="s">
        <v>390</v>
      </c>
      <c r="C1352" s="286">
        <v>42506.704861111109</v>
      </c>
      <c r="D1352" t="s">
        <v>382</v>
      </c>
      <c r="E1352">
        <v>0</v>
      </c>
      <c r="F1352" s="287"/>
      <c r="G1352" s="287"/>
      <c r="H1352" s="287"/>
      <c r="I1352" t="s">
        <v>382</v>
      </c>
      <c r="J1352" t="s">
        <v>42</v>
      </c>
    </row>
    <row r="1353" spans="1:10" x14ac:dyDescent="0.25">
      <c r="A1353" t="s">
        <v>396</v>
      </c>
      <c r="C1353" s="286">
        <v>42506.931898148148</v>
      </c>
      <c r="D1353" t="s">
        <v>382</v>
      </c>
      <c r="E1353">
        <v>0</v>
      </c>
      <c r="F1353" s="287"/>
      <c r="G1353" s="287"/>
      <c r="H1353" s="287"/>
      <c r="I1353" t="s">
        <v>382</v>
      </c>
      <c r="J1353" t="s">
        <v>42</v>
      </c>
    </row>
    <row r="1354" spans="1:10" x14ac:dyDescent="0.25">
      <c r="A1354" t="s">
        <v>390</v>
      </c>
      <c r="C1354" s="286">
        <v>42507.063240740739</v>
      </c>
      <c r="D1354" t="s">
        <v>382</v>
      </c>
      <c r="E1354">
        <v>0</v>
      </c>
      <c r="F1354" s="287"/>
      <c r="G1354" s="287"/>
      <c r="H1354" s="287"/>
      <c r="I1354" t="s">
        <v>382</v>
      </c>
      <c r="J1354" t="s">
        <v>42</v>
      </c>
    </row>
    <row r="1355" spans="1:10" x14ac:dyDescent="0.25">
      <c r="A1355" t="s">
        <v>390</v>
      </c>
      <c r="C1355" s="286">
        <v>42507.584004629629</v>
      </c>
      <c r="D1355" t="s">
        <v>382</v>
      </c>
      <c r="E1355">
        <v>0</v>
      </c>
      <c r="F1355" s="287"/>
      <c r="G1355" s="287"/>
      <c r="H1355" s="287"/>
      <c r="I1355" t="s">
        <v>382</v>
      </c>
      <c r="J1355" t="s">
        <v>42</v>
      </c>
    </row>
    <row r="1356" spans="1:10" x14ac:dyDescent="0.25">
      <c r="A1356" t="s">
        <v>390</v>
      </c>
      <c r="C1356" s="286">
        <v>42507.725868055553</v>
      </c>
      <c r="D1356" t="s">
        <v>382</v>
      </c>
      <c r="E1356">
        <v>0</v>
      </c>
      <c r="F1356" s="287"/>
      <c r="G1356" s="287"/>
      <c r="H1356" s="287"/>
      <c r="I1356" t="s">
        <v>382</v>
      </c>
      <c r="J1356" t="s">
        <v>42</v>
      </c>
    </row>
    <row r="1357" spans="1:10" x14ac:dyDescent="0.25">
      <c r="A1357" t="s">
        <v>390</v>
      </c>
      <c r="C1357" s="286">
        <v>42507.777511574073</v>
      </c>
      <c r="D1357" t="s">
        <v>382</v>
      </c>
      <c r="E1357">
        <v>0</v>
      </c>
      <c r="F1357" s="287"/>
      <c r="G1357" s="287"/>
      <c r="H1357" s="287"/>
      <c r="I1357" t="s">
        <v>382</v>
      </c>
      <c r="J1357" t="s">
        <v>42</v>
      </c>
    </row>
    <row r="1358" spans="1:10" x14ac:dyDescent="0.25">
      <c r="A1358" t="s">
        <v>390</v>
      </c>
      <c r="C1358" s="286">
        <v>42507.963425925926</v>
      </c>
      <c r="D1358" t="s">
        <v>382</v>
      </c>
      <c r="E1358">
        <v>0</v>
      </c>
      <c r="F1358" s="287"/>
      <c r="G1358" s="287"/>
      <c r="H1358" s="287"/>
      <c r="I1358" t="s">
        <v>382</v>
      </c>
      <c r="J1358" t="s">
        <v>42</v>
      </c>
    </row>
    <row r="1359" spans="1:10" x14ac:dyDescent="0.25">
      <c r="A1359" t="s">
        <v>396</v>
      </c>
      <c r="C1359" s="286">
        <v>42508.37703703704</v>
      </c>
      <c r="D1359" t="s">
        <v>382</v>
      </c>
      <c r="E1359">
        <v>0</v>
      </c>
      <c r="F1359" s="287"/>
      <c r="G1359" s="287"/>
      <c r="H1359" s="287"/>
      <c r="I1359" t="s">
        <v>382</v>
      </c>
      <c r="J1359" t="s">
        <v>42</v>
      </c>
    </row>
    <row r="1360" spans="1:10" x14ac:dyDescent="0.25">
      <c r="A1360" t="s">
        <v>390</v>
      </c>
      <c r="C1360" s="286">
        <v>42508.662233796298</v>
      </c>
      <c r="D1360" t="s">
        <v>382</v>
      </c>
      <c r="E1360">
        <v>0</v>
      </c>
      <c r="F1360" s="287"/>
      <c r="G1360" s="287"/>
      <c r="H1360" s="287"/>
      <c r="I1360" t="s">
        <v>382</v>
      </c>
      <c r="J1360" t="s">
        <v>42</v>
      </c>
    </row>
    <row r="1361" spans="1:10" x14ac:dyDescent="0.25">
      <c r="A1361" t="s">
        <v>390</v>
      </c>
      <c r="C1361" s="286">
        <v>42508.703148148146</v>
      </c>
      <c r="D1361" t="s">
        <v>382</v>
      </c>
      <c r="E1361">
        <v>0</v>
      </c>
      <c r="F1361" s="287"/>
      <c r="G1361" s="287"/>
      <c r="H1361" s="287"/>
      <c r="I1361" t="s">
        <v>382</v>
      </c>
      <c r="J1361" t="s">
        <v>42</v>
      </c>
    </row>
    <row r="1362" spans="1:10" x14ac:dyDescent="0.25">
      <c r="A1362" t="s">
        <v>390</v>
      </c>
      <c r="C1362" s="286">
        <v>42508.709513888891</v>
      </c>
      <c r="D1362" t="s">
        <v>382</v>
      </c>
      <c r="E1362">
        <v>0</v>
      </c>
      <c r="F1362" s="287"/>
      <c r="G1362" s="287"/>
      <c r="H1362" s="287"/>
      <c r="I1362" t="s">
        <v>382</v>
      </c>
      <c r="J1362" t="s">
        <v>42</v>
      </c>
    </row>
    <row r="1363" spans="1:10" x14ac:dyDescent="0.25">
      <c r="A1363" t="s">
        <v>390</v>
      </c>
      <c r="C1363" s="286">
        <v>42508.830150462964</v>
      </c>
      <c r="D1363" t="s">
        <v>382</v>
      </c>
      <c r="E1363">
        <v>0</v>
      </c>
      <c r="F1363" s="287"/>
      <c r="G1363" s="287"/>
      <c r="H1363" s="287"/>
      <c r="I1363" t="s">
        <v>382</v>
      </c>
      <c r="J1363" t="s">
        <v>42</v>
      </c>
    </row>
    <row r="1364" spans="1:10" x14ac:dyDescent="0.25">
      <c r="A1364" t="s">
        <v>390</v>
      </c>
      <c r="C1364" s="286">
        <v>42509.277384259258</v>
      </c>
      <c r="D1364" t="s">
        <v>382</v>
      </c>
      <c r="E1364">
        <v>0</v>
      </c>
      <c r="F1364" s="287"/>
      <c r="G1364" s="287"/>
      <c r="H1364" s="287"/>
      <c r="I1364" t="s">
        <v>382</v>
      </c>
      <c r="J1364" t="s">
        <v>42</v>
      </c>
    </row>
    <row r="1365" spans="1:10" x14ac:dyDescent="0.25">
      <c r="A1365" t="s">
        <v>390</v>
      </c>
      <c r="C1365" s="286">
        <v>42509.600231481483</v>
      </c>
      <c r="D1365" t="s">
        <v>382</v>
      </c>
      <c r="E1365">
        <v>0</v>
      </c>
      <c r="F1365" s="287"/>
      <c r="G1365" s="287"/>
      <c r="H1365" s="287"/>
      <c r="I1365" t="s">
        <v>382</v>
      </c>
      <c r="J1365" t="s">
        <v>42</v>
      </c>
    </row>
    <row r="1366" spans="1:10" x14ac:dyDescent="0.25">
      <c r="A1366" t="s">
        <v>390</v>
      </c>
      <c r="C1366" s="286">
        <v>42509.68681712963</v>
      </c>
      <c r="D1366" t="s">
        <v>382</v>
      </c>
      <c r="E1366">
        <v>0</v>
      </c>
      <c r="F1366" s="287"/>
      <c r="G1366" s="287"/>
      <c r="H1366" s="287"/>
      <c r="I1366" t="s">
        <v>382</v>
      </c>
      <c r="J1366" t="s">
        <v>42</v>
      </c>
    </row>
    <row r="1367" spans="1:10" x14ac:dyDescent="0.25">
      <c r="A1367" t="s">
        <v>390</v>
      </c>
      <c r="C1367" s="286">
        <v>42509.77853009259</v>
      </c>
      <c r="D1367" t="s">
        <v>382</v>
      </c>
      <c r="E1367">
        <v>0</v>
      </c>
      <c r="F1367" s="287"/>
      <c r="G1367" s="287"/>
      <c r="H1367" s="287"/>
      <c r="I1367" t="s">
        <v>382</v>
      </c>
      <c r="J1367" t="s">
        <v>42</v>
      </c>
    </row>
    <row r="1368" spans="1:10" x14ac:dyDescent="0.25">
      <c r="A1368" t="s">
        <v>390</v>
      </c>
      <c r="C1368" s="286">
        <v>42509.778553240743</v>
      </c>
      <c r="D1368" t="s">
        <v>382</v>
      </c>
      <c r="E1368">
        <v>0</v>
      </c>
      <c r="F1368" s="287"/>
      <c r="G1368" s="287"/>
      <c r="H1368" s="287"/>
      <c r="I1368" t="s">
        <v>382</v>
      </c>
      <c r="J1368" t="s">
        <v>42</v>
      </c>
    </row>
    <row r="1369" spans="1:10" x14ac:dyDescent="0.25">
      <c r="A1369" t="s">
        <v>390</v>
      </c>
      <c r="C1369" s="286">
        <v>42509.826990740738</v>
      </c>
      <c r="D1369" t="s">
        <v>382</v>
      </c>
      <c r="E1369">
        <v>0</v>
      </c>
      <c r="F1369" s="287"/>
      <c r="G1369" s="287"/>
      <c r="H1369" s="287"/>
      <c r="I1369" t="s">
        <v>382</v>
      </c>
      <c r="J1369" t="s">
        <v>42</v>
      </c>
    </row>
    <row r="1370" spans="1:10" x14ac:dyDescent="0.25">
      <c r="A1370" t="s">
        <v>396</v>
      </c>
      <c r="C1370" s="286">
        <v>42509.926631944443</v>
      </c>
      <c r="D1370" t="s">
        <v>382</v>
      </c>
      <c r="E1370">
        <v>0</v>
      </c>
      <c r="F1370" s="287"/>
      <c r="G1370" s="287"/>
      <c r="H1370" s="287"/>
      <c r="I1370" t="s">
        <v>382</v>
      </c>
      <c r="J1370" t="s">
        <v>42</v>
      </c>
    </row>
    <row r="1371" spans="1:10" x14ac:dyDescent="0.25">
      <c r="A1371" t="s">
        <v>390</v>
      </c>
      <c r="C1371" s="286">
        <v>42509.937222222223</v>
      </c>
      <c r="D1371" t="s">
        <v>382</v>
      </c>
      <c r="E1371">
        <v>0</v>
      </c>
      <c r="F1371" s="287"/>
      <c r="G1371" s="287"/>
      <c r="H1371" s="287"/>
      <c r="I1371" t="s">
        <v>382</v>
      </c>
      <c r="J1371" t="s">
        <v>42</v>
      </c>
    </row>
    <row r="1372" spans="1:10" x14ac:dyDescent="0.25">
      <c r="A1372" t="s">
        <v>390</v>
      </c>
      <c r="C1372" s="286">
        <v>42510.073564814818</v>
      </c>
      <c r="D1372" t="s">
        <v>382</v>
      </c>
      <c r="E1372">
        <v>0</v>
      </c>
      <c r="F1372" s="287"/>
      <c r="G1372" s="287"/>
      <c r="H1372" s="287"/>
      <c r="I1372" t="s">
        <v>382</v>
      </c>
      <c r="J1372" t="s">
        <v>42</v>
      </c>
    </row>
    <row r="1373" spans="1:10" x14ac:dyDescent="0.25">
      <c r="A1373" t="s">
        <v>390</v>
      </c>
      <c r="C1373" s="286">
        <v>42510.58730324074</v>
      </c>
      <c r="D1373" t="s">
        <v>382</v>
      </c>
      <c r="E1373">
        <v>0</v>
      </c>
      <c r="F1373" s="287"/>
      <c r="G1373" s="287"/>
      <c r="H1373" s="287"/>
      <c r="I1373" t="s">
        <v>382</v>
      </c>
      <c r="J1373" t="s">
        <v>42</v>
      </c>
    </row>
    <row r="1374" spans="1:10" x14ac:dyDescent="0.25">
      <c r="A1374" t="s">
        <v>390</v>
      </c>
      <c r="C1374" s="286">
        <v>42510.665960648148</v>
      </c>
      <c r="D1374" t="s">
        <v>382</v>
      </c>
      <c r="E1374">
        <v>0</v>
      </c>
      <c r="F1374" s="287"/>
      <c r="G1374" s="287"/>
      <c r="H1374" s="287"/>
      <c r="I1374" t="s">
        <v>382</v>
      </c>
      <c r="J1374" t="s">
        <v>42</v>
      </c>
    </row>
    <row r="1375" spans="1:10" x14ac:dyDescent="0.25">
      <c r="A1375" t="s">
        <v>390</v>
      </c>
      <c r="C1375" s="286">
        <v>42510.768738425926</v>
      </c>
      <c r="D1375" t="s">
        <v>382</v>
      </c>
      <c r="E1375">
        <v>0</v>
      </c>
      <c r="F1375" s="287"/>
      <c r="G1375" s="287"/>
      <c r="H1375" s="287"/>
      <c r="I1375" t="s">
        <v>382</v>
      </c>
      <c r="J1375" t="s">
        <v>42</v>
      </c>
    </row>
    <row r="1376" spans="1:10" x14ac:dyDescent="0.25">
      <c r="A1376" t="s">
        <v>390</v>
      </c>
      <c r="C1376" s="286">
        <v>42510.779351851852</v>
      </c>
      <c r="D1376" t="s">
        <v>382</v>
      </c>
      <c r="E1376">
        <v>0</v>
      </c>
      <c r="F1376" s="287"/>
      <c r="G1376" s="287"/>
      <c r="H1376" s="287"/>
      <c r="I1376" t="s">
        <v>382</v>
      </c>
      <c r="J1376" t="s">
        <v>42</v>
      </c>
    </row>
    <row r="1377" spans="1:10" x14ac:dyDescent="0.25">
      <c r="A1377" t="s">
        <v>396</v>
      </c>
      <c r="C1377" s="286">
        <v>42510.908854166664</v>
      </c>
      <c r="D1377" t="s">
        <v>382</v>
      </c>
      <c r="E1377">
        <v>0</v>
      </c>
      <c r="F1377" s="287"/>
      <c r="G1377" s="287"/>
      <c r="H1377" s="287"/>
      <c r="I1377" t="s">
        <v>382</v>
      </c>
      <c r="J1377" t="s">
        <v>42</v>
      </c>
    </row>
    <row r="1378" spans="1:10" x14ac:dyDescent="0.25">
      <c r="A1378" t="s">
        <v>390</v>
      </c>
      <c r="C1378" s="286">
        <v>42510.955740740741</v>
      </c>
      <c r="D1378" t="s">
        <v>382</v>
      </c>
      <c r="E1378">
        <v>0</v>
      </c>
      <c r="F1378" s="287"/>
      <c r="G1378" s="287"/>
      <c r="H1378" s="287"/>
      <c r="I1378" t="s">
        <v>382</v>
      </c>
      <c r="J1378" t="s">
        <v>42</v>
      </c>
    </row>
    <row r="1379" spans="1:10" x14ac:dyDescent="0.25">
      <c r="A1379" t="s">
        <v>433</v>
      </c>
      <c r="C1379" s="286">
        <v>42511.625879629632</v>
      </c>
      <c r="D1379" t="s">
        <v>382</v>
      </c>
      <c r="E1379">
        <v>0</v>
      </c>
      <c r="F1379" s="287"/>
      <c r="G1379" s="287"/>
      <c r="H1379" s="287"/>
      <c r="I1379" t="s">
        <v>382</v>
      </c>
      <c r="J1379" t="s">
        <v>42</v>
      </c>
    </row>
    <row r="1380" spans="1:10" x14ac:dyDescent="0.25">
      <c r="A1380" t="s">
        <v>390</v>
      </c>
      <c r="C1380" s="286">
        <v>42511.772164351853</v>
      </c>
      <c r="D1380" t="s">
        <v>382</v>
      </c>
      <c r="E1380">
        <v>0</v>
      </c>
      <c r="F1380" s="287"/>
      <c r="G1380" s="287"/>
      <c r="H1380" s="287"/>
      <c r="I1380" t="s">
        <v>382</v>
      </c>
      <c r="J1380" t="s">
        <v>42</v>
      </c>
    </row>
    <row r="1381" spans="1:10" x14ac:dyDescent="0.25">
      <c r="A1381" t="s">
        <v>390</v>
      </c>
      <c r="C1381" s="286">
        <v>42511.80636574074</v>
      </c>
      <c r="D1381" t="s">
        <v>382</v>
      </c>
      <c r="E1381">
        <v>0</v>
      </c>
      <c r="F1381" s="287"/>
      <c r="G1381" s="287"/>
      <c r="H1381" s="287"/>
      <c r="I1381" t="s">
        <v>382</v>
      </c>
      <c r="J1381" t="s">
        <v>42</v>
      </c>
    </row>
    <row r="1382" spans="1:10" x14ac:dyDescent="0.25">
      <c r="A1382" t="s">
        <v>396</v>
      </c>
      <c r="C1382" s="286">
        <v>42511.908067129632</v>
      </c>
      <c r="D1382" t="s">
        <v>382</v>
      </c>
      <c r="E1382">
        <v>0</v>
      </c>
      <c r="F1382" s="287"/>
      <c r="G1382" s="287"/>
      <c r="H1382" s="287"/>
      <c r="I1382" t="s">
        <v>382</v>
      </c>
      <c r="J1382" t="s">
        <v>42</v>
      </c>
    </row>
    <row r="1383" spans="1:10" x14ac:dyDescent="0.25">
      <c r="A1383" t="s">
        <v>396</v>
      </c>
      <c r="C1383" s="286">
        <v>42512.354895833334</v>
      </c>
      <c r="D1383" t="s">
        <v>382</v>
      </c>
      <c r="E1383">
        <v>0</v>
      </c>
      <c r="F1383" s="287"/>
      <c r="G1383" s="287"/>
      <c r="H1383" s="287"/>
      <c r="I1383" t="s">
        <v>382</v>
      </c>
      <c r="J1383" t="s">
        <v>42</v>
      </c>
    </row>
    <row r="1384" spans="1:10" x14ac:dyDescent="0.25">
      <c r="A1384" t="s">
        <v>390</v>
      </c>
      <c r="C1384" s="286">
        <v>42512.545428240737</v>
      </c>
      <c r="D1384" t="s">
        <v>382</v>
      </c>
      <c r="E1384">
        <v>0</v>
      </c>
      <c r="F1384" s="287"/>
      <c r="G1384" s="287"/>
      <c r="H1384" s="287"/>
      <c r="I1384" t="s">
        <v>382</v>
      </c>
      <c r="J1384" t="s">
        <v>42</v>
      </c>
    </row>
    <row r="1385" spans="1:10" x14ac:dyDescent="0.25">
      <c r="A1385" t="s">
        <v>390</v>
      </c>
      <c r="C1385" s="286">
        <v>42512.755173611113</v>
      </c>
      <c r="D1385" t="s">
        <v>382</v>
      </c>
      <c r="E1385">
        <v>0</v>
      </c>
      <c r="F1385" s="287"/>
      <c r="G1385" s="287"/>
      <c r="H1385" s="287"/>
      <c r="I1385" t="s">
        <v>382</v>
      </c>
      <c r="J1385" t="s">
        <v>42</v>
      </c>
    </row>
    <row r="1386" spans="1:10" x14ac:dyDescent="0.25">
      <c r="A1386" t="s">
        <v>390</v>
      </c>
      <c r="C1386" s="286">
        <v>42512.830393518518</v>
      </c>
      <c r="D1386" t="s">
        <v>382</v>
      </c>
      <c r="E1386">
        <v>0</v>
      </c>
      <c r="F1386" s="287"/>
      <c r="G1386" s="287"/>
      <c r="H1386" s="287"/>
      <c r="I1386" t="s">
        <v>382</v>
      </c>
      <c r="J1386" t="s">
        <v>42</v>
      </c>
    </row>
    <row r="1387" spans="1:10" x14ac:dyDescent="0.25">
      <c r="A1387" t="s">
        <v>390</v>
      </c>
      <c r="C1387" s="286">
        <v>42512.834421296298</v>
      </c>
      <c r="D1387" t="s">
        <v>382</v>
      </c>
      <c r="E1387">
        <v>0</v>
      </c>
      <c r="F1387" s="287"/>
      <c r="G1387" s="287"/>
      <c r="H1387" s="287"/>
      <c r="I1387" t="s">
        <v>382</v>
      </c>
      <c r="J1387" t="s">
        <v>42</v>
      </c>
    </row>
    <row r="1388" spans="1:10" x14ac:dyDescent="0.25">
      <c r="A1388" t="s">
        <v>396</v>
      </c>
      <c r="C1388" s="286">
        <v>42512.88486111111</v>
      </c>
      <c r="D1388" t="s">
        <v>382</v>
      </c>
      <c r="E1388">
        <v>0</v>
      </c>
      <c r="F1388" s="287"/>
      <c r="G1388" s="287"/>
      <c r="H1388" s="287"/>
      <c r="I1388" t="s">
        <v>382</v>
      </c>
      <c r="J1388" t="s">
        <v>42</v>
      </c>
    </row>
    <row r="1389" spans="1:10" x14ac:dyDescent="0.25">
      <c r="A1389" t="s">
        <v>390</v>
      </c>
      <c r="C1389" s="286">
        <v>42512.968113425923</v>
      </c>
      <c r="D1389" t="s">
        <v>382</v>
      </c>
      <c r="E1389">
        <v>0</v>
      </c>
      <c r="F1389" s="287"/>
      <c r="G1389" s="287"/>
      <c r="H1389" s="287"/>
      <c r="I1389" t="s">
        <v>382</v>
      </c>
      <c r="J1389" t="s">
        <v>42</v>
      </c>
    </row>
    <row r="1390" spans="1:10" x14ac:dyDescent="0.25">
      <c r="A1390" t="s">
        <v>390</v>
      </c>
      <c r="C1390" s="286">
        <v>42513.58494212963</v>
      </c>
      <c r="D1390" t="s">
        <v>382</v>
      </c>
      <c r="E1390">
        <v>0</v>
      </c>
      <c r="F1390" s="287"/>
      <c r="G1390" s="287"/>
      <c r="H1390" s="287"/>
      <c r="I1390" t="s">
        <v>382</v>
      </c>
      <c r="J1390" t="s">
        <v>42</v>
      </c>
    </row>
    <row r="1391" spans="1:10" x14ac:dyDescent="0.25">
      <c r="A1391" t="s">
        <v>390</v>
      </c>
      <c r="C1391" s="286">
        <v>42513.700868055559</v>
      </c>
      <c r="D1391" t="s">
        <v>382</v>
      </c>
      <c r="E1391">
        <v>0</v>
      </c>
      <c r="F1391" s="287"/>
      <c r="G1391" s="287"/>
      <c r="H1391" s="287"/>
      <c r="I1391" t="s">
        <v>382</v>
      </c>
      <c r="J1391" t="s">
        <v>42</v>
      </c>
    </row>
    <row r="1392" spans="1:10" x14ac:dyDescent="0.25">
      <c r="A1392" t="s">
        <v>390</v>
      </c>
      <c r="C1392" s="286">
        <v>42513.772233796299</v>
      </c>
      <c r="D1392" t="s">
        <v>382</v>
      </c>
      <c r="E1392">
        <v>0</v>
      </c>
      <c r="F1392" s="287"/>
      <c r="G1392" s="287"/>
      <c r="H1392" s="287"/>
      <c r="I1392" t="s">
        <v>382</v>
      </c>
      <c r="J1392" t="s">
        <v>42</v>
      </c>
    </row>
    <row r="1393" spans="1:10" x14ac:dyDescent="0.25">
      <c r="A1393" t="s">
        <v>396</v>
      </c>
      <c r="C1393" s="286">
        <v>42513.926678240743</v>
      </c>
      <c r="D1393" t="s">
        <v>382</v>
      </c>
      <c r="E1393">
        <v>0</v>
      </c>
      <c r="F1393" s="287"/>
      <c r="G1393" s="287"/>
      <c r="H1393" s="287"/>
      <c r="I1393" t="s">
        <v>382</v>
      </c>
      <c r="J1393" t="s">
        <v>42</v>
      </c>
    </row>
    <row r="1394" spans="1:10" x14ac:dyDescent="0.25">
      <c r="A1394" t="s">
        <v>390</v>
      </c>
      <c r="C1394" s="286">
        <v>42513.960740740738</v>
      </c>
      <c r="D1394" t="s">
        <v>382</v>
      </c>
      <c r="E1394">
        <v>0</v>
      </c>
      <c r="F1394" s="287"/>
      <c r="G1394" s="287"/>
      <c r="H1394" s="287"/>
      <c r="I1394" t="s">
        <v>382</v>
      </c>
      <c r="J1394" t="s">
        <v>42</v>
      </c>
    </row>
    <row r="1395" spans="1:10" x14ac:dyDescent="0.25">
      <c r="A1395" t="s">
        <v>390</v>
      </c>
      <c r="C1395" s="286">
        <v>42514.771817129629</v>
      </c>
      <c r="D1395" t="s">
        <v>382</v>
      </c>
      <c r="E1395">
        <v>0</v>
      </c>
      <c r="F1395" s="287"/>
      <c r="G1395" s="287"/>
      <c r="H1395" s="287"/>
      <c r="I1395" t="s">
        <v>382</v>
      </c>
      <c r="J1395" t="s">
        <v>42</v>
      </c>
    </row>
    <row r="1396" spans="1:10" x14ac:dyDescent="0.25">
      <c r="A1396" t="s">
        <v>390</v>
      </c>
      <c r="C1396" s="286">
        <v>42514.771840277775</v>
      </c>
      <c r="D1396" t="s">
        <v>382</v>
      </c>
      <c r="E1396">
        <v>0</v>
      </c>
      <c r="F1396" s="287"/>
      <c r="G1396" s="287"/>
      <c r="H1396" s="287"/>
      <c r="I1396" t="s">
        <v>382</v>
      </c>
      <c r="J1396" t="s">
        <v>42</v>
      </c>
    </row>
    <row r="1397" spans="1:10" x14ac:dyDescent="0.25">
      <c r="A1397" t="s">
        <v>390</v>
      </c>
      <c r="C1397" s="286">
        <v>42514.799270833333</v>
      </c>
      <c r="D1397" t="s">
        <v>382</v>
      </c>
      <c r="E1397">
        <v>0</v>
      </c>
      <c r="F1397" s="287"/>
      <c r="G1397" s="287"/>
      <c r="H1397" s="287"/>
      <c r="I1397" t="s">
        <v>382</v>
      </c>
      <c r="J1397" t="s">
        <v>42</v>
      </c>
    </row>
    <row r="1398" spans="1:10" x14ac:dyDescent="0.25">
      <c r="A1398" t="s">
        <v>396</v>
      </c>
      <c r="C1398" s="286">
        <v>42514.892199074071</v>
      </c>
      <c r="D1398" t="s">
        <v>382</v>
      </c>
      <c r="E1398">
        <v>0</v>
      </c>
      <c r="F1398" s="287"/>
      <c r="G1398" s="287"/>
      <c r="H1398" s="287"/>
      <c r="I1398" t="s">
        <v>382</v>
      </c>
      <c r="J1398" t="s">
        <v>42</v>
      </c>
    </row>
    <row r="1399" spans="1:10" x14ac:dyDescent="0.25">
      <c r="A1399" t="s">
        <v>390</v>
      </c>
      <c r="C1399" s="286">
        <v>42515.392638888887</v>
      </c>
      <c r="D1399" t="s">
        <v>382</v>
      </c>
      <c r="E1399">
        <v>0</v>
      </c>
      <c r="F1399" s="287"/>
      <c r="G1399" s="287"/>
      <c r="H1399" s="287"/>
      <c r="I1399" t="s">
        <v>382</v>
      </c>
      <c r="J1399" t="s">
        <v>42</v>
      </c>
    </row>
    <row r="1400" spans="1:10" x14ac:dyDescent="0.25">
      <c r="A1400" t="s">
        <v>390</v>
      </c>
      <c r="C1400" s="286">
        <v>42515.682395833333</v>
      </c>
      <c r="D1400" t="s">
        <v>382</v>
      </c>
      <c r="E1400">
        <v>0</v>
      </c>
      <c r="F1400" s="287"/>
      <c r="G1400" s="287"/>
      <c r="H1400" s="287"/>
      <c r="I1400" t="s">
        <v>382</v>
      </c>
      <c r="J1400" t="s">
        <v>42</v>
      </c>
    </row>
    <row r="1401" spans="1:10" x14ac:dyDescent="0.25">
      <c r="A1401" t="s">
        <v>390</v>
      </c>
      <c r="C1401" s="286">
        <v>42515.744976851849</v>
      </c>
      <c r="D1401" t="s">
        <v>382</v>
      </c>
      <c r="E1401">
        <v>0</v>
      </c>
      <c r="F1401" s="287"/>
      <c r="G1401" s="287"/>
      <c r="H1401" s="287"/>
      <c r="I1401" t="s">
        <v>382</v>
      </c>
      <c r="J1401" t="s">
        <v>42</v>
      </c>
    </row>
    <row r="1402" spans="1:10" x14ac:dyDescent="0.25">
      <c r="A1402" t="s">
        <v>396</v>
      </c>
      <c r="C1402" s="286">
        <v>42515.905046296299</v>
      </c>
      <c r="D1402" t="s">
        <v>382</v>
      </c>
      <c r="E1402">
        <v>0</v>
      </c>
      <c r="F1402" s="287"/>
      <c r="G1402" s="287"/>
      <c r="H1402" s="287"/>
      <c r="I1402" t="s">
        <v>382</v>
      </c>
      <c r="J1402" t="s">
        <v>42</v>
      </c>
    </row>
    <row r="1403" spans="1:10" x14ac:dyDescent="0.25">
      <c r="A1403" t="s">
        <v>390</v>
      </c>
      <c r="C1403" s="286">
        <v>42515.980428240742</v>
      </c>
      <c r="D1403" t="s">
        <v>382</v>
      </c>
      <c r="E1403">
        <v>0</v>
      </c>
      <c r="F1403" s="287"/>
      <c r="G1403" s="287"/>
      <c r="H1403" s="287"/>
      <c r="I1403" t="s">
        <v>382</v>
      </c>
      <c r="J1403" t="s">
        <v>42</v>
      </c>
    </row>
    <row r="1404" spans="1:10" x14ac:dyDescent="0.25">
      <c r="A1404" t="s">
        <v>390</v>
      </c>
      <c r="C1404" s="286">
        <v>42516.586481481485</v>
      </c>
      <c r="D1404" t="s">
        <v>382</v>
      </c>
      <c r="E1404">
        <v>0</v>
      </c>
      <c r="F1404" s="287"/>
      <c r="G1404" s="287"/>
      <c r="H1404" s="287"/>
      <c r="I1404" t="s">
        <v>382</v>
      </c>
      <c r="J1404" t="s">
        <v>42</v>
      </c>
    </row>
    <row r="1405" spans="1:10" x14ac:dyDescent="0.25">
      <c r="A1405" t="s">
        <v>390</v>
      </c>
      <c r="C1405" s="286">
        <v>42516.671435185184</v>
      </c>
      <c r="D1405" t="s">
        <v>382</v>
      </c>
      <c r="E1405">
        <v>0</v>
      </c>
      <c r="F1405" s="287"/>
      <c r="G1405" s="287"/>
      <c r="H1405" s="287"/>
      <c r="I1405" t="s">
        <v>382</v>
      </c>
      <c r="J1405" t="s">
        <v>42</v>
      </c>
    </row>
    <row r="1406" spans="1:10" x14ac:dyDescent="0.25">
      <c r="A1406" t="s">
        <v>390</v>
      </c>
      <c r="C1406" s="286">
        <v>42516.775520833333</v>
      </c>
      <c r="D1406" t="s">
        <v>382</v>
      </c>
      <c r="E1406">
        <v>0</v>
      </c>
      <c r="F1406" s="287"/>
      <c r="G1406" s="287"/>
      <c r="H1406" s="287"/>
      <c r="I1406" t="s">
        <v>382</v>
      </c>
      <c r="J1406" t="s">
        <v>42</v>
      </c>
    </row>
    <row r="1407" spans="1:10" x14ac:dyDescent="0.25">
      <c r="A1407" t="s">
        <v>390</v>
      </c>
      <c r="C1407" s="286">
        <v>42516.802627314813</v>
      </c>
      <c r="D1407" t="s">
        <v>382</v>
      </c>
      <c r="E1407">
        <v>0</v>
      </c>
      <c r="F1407" s="287"/>
      <c r="G1407" s="287"/>
      <c r="H1407" s="287"/>
      <c r="I1407" t="s">
        <v>382</v>
      </c>
      <c r="J1407" t="s">
        <v>42</v>
      </c>
    </row>
    <row r="1408" spans="1:10" x14ac:dyDescent="0.25">
      <c r="A1408" t="s">
        <v>390</v>
      </c>
      <c r="C1408" s="286">
        <v>42516.80265046296</v>
      </c>
      <c r="D1408" t="s">
        <v>382</v>
      </c>
      <c r="E1408">
        <v>0</v>
      </c>
      <c r="F1408" s="287"/>
      <c r="G1408" s="287"/>
      <c r="H1408" s="287"/>
      <c r="I1408" t="s">
        <v>382</v>
      </c>
      <c r="J1408" t="s">
        <v>42</v>
      </c>
    </row>
    <row r="1409" spans="1:10" x14ac:dyDescent="0.25">
      <c r="A1409" t="s">
        <v>396</v>
      </c>
      <c r="C1409" s="286">
        <v>42516.91710648148</v>
      </c>
      <c r="D1409" t="s">
        <v>382</v>
      </c>
      <c r="E1409">
        <v>0</v>
      </c>
      <c r="F1409" s="287"/>
      <c r="G1409" s="287"/>
      <c r="H1409" s="287"/>
      <c r="I1409" t="s">
        <v>382</v>
      </c>
      <c r="J1409" t="s">
        <v>42</v>
      </c>
    </row>
    <row r="1410" spans="1:10" x14ac:dyDescent="0.25">
      <c r="A1410" t="s">
        <v>390</v>
      </c>
      <c r="C1410" s="286">
        <v>42517.774375000001</v>
      </c>
      <c r="D1410" t="s">
        <v>382</v>
      </c>
      <c r="E1410">
        <v>0</v>
      </c>
      <c r="F1410" s="287"/>
      <c r="G1410" s="287"/>
      <c r="H1410" s="287"/>
      <c r="I1410" t="s">
        <v>382</v>
      </c>
      <c r="J1410" t="s">
        <v>42</v>
      </c>
    </row>
    <row r="1411" spans="1:10" x14ac:dyDescent="0.25">
      <c r="A1411" t="s">
        <v>390</v>
      </c>
      <c r="C1411" s="286">
        <v>42517.879988425928</v>
      </c>
      <c r="D1411" t="s">
        <v>382</v>
      </c>
      <c r="E1411">
        <v>0</v>
      </c>
      <c r="F1411" s="287"/>
      <c r="G1411" s="287"/>
      <c r="H1411" s="287"/>
      <c r="I1411" t="s">
        <v>382</v>
      </c>
      <c r="J1411" t="s">
        <v>42</v>
      </c>
    </row>
    <row r="1412" spans="1:10" x14ac:dyDescent="0.25">
      <c r="A1412" t="s">
        <v>396</v>
      </c>
      <c r="C1412" s="286">
        <v>42517.901238425926</v>
      </c>
      <c r="D1412" t="s">
        <v>382</v>
      </c>
      <c r="E1412">
        <v>0</v>
      </c>
      <c r="F1412" s="287"/>
      <c r="G1412" s="287"/>
      <c r="H1412" s="287"/>
      <c r="I1412" t="s">
        <v>382</v>
      </c>
      <c r="J1412" t="s">
        <v>42</v>
      </c>
    </row>
    <row r="1413" spans="1:10" x14ac:dyDescent="0.25">
      <c r="A1413" t="s">
        <v>390</v>
      </c>
      <c r="C1413" s="286">
        <v>42517.94190972222</v>
      </c>
      <c r="D1413" t="s">
        <v>382</v>
      </c>
      <c r="E1413">
        <v>0</v>
      </c>
      <c r="F1413" s="287"/>
      <c r="G1413" s="287"/>
      <c r="H1413" s="287"/>
      <c r="I1413" t="s">
        <v>382</v>
      </c>
      <c r="J1413" t="s">
        <v>42</v>
      </c>
    </row>
    <row r="1414" spans="1:10" x14ac:dyDescent="0.25">
      <c r="A1414" t="s">
        <v>434</v>
      </c>
      <c r="C1414" s="286">
        <v>42518.625821759262</v>
      </c>
      <c r="D1414" t="s">
        <v>382</v>
      </c>
      <c r="E1414">
        <v>0</v>
      </c>
      <c r="F1414" s="287"/>
      <c r="G1414" s="287"/>
      <c r="H1414" s="287"/>
      <c r="I1414" t="s">
        <v>382</v>
      </c>
      <c r="J1414" t="s">
        <v>42</v>
      </c>
    </row>
    <row r="1415" spans="1:10" x14ac:dyDescent="0.25">
      <c r="A1415" t="s">
        <v>390</v>
      </c>
      <c r="C1415" s="286">
        <v>42518.640798611108</v>
      </c>
      <c r="D1415" t="s">
        <v>382</v>
      </c>
      <c r="E1415">
        <v>0</v>
      </c>
      <c r="F1415" s="287"/>
      <c r="G1415" s="287"/>
      <c r="H1415" s="287"/>
      <c r="I1415" t="s">
        <v>382</v>
      </c>
      <c r="J1415" t="s">
        <v>42</v>
      </c>
    </row>
    <row r="1416" spans="1:10" x14ac:dyDescent="0.25">
      <c r="A1416" t="s">
        <v>390</v>
      </c>
      <c r="C1416" s="286">
        <v>42518.713182870371</v>
      </c>
      <c r="D1416" t="s">
        <v>382</v>
      </c>
      <c r="E1416">
        <v>0</v>
      </c>
      <c r="F1416" s="287"/>
      <c r="G1416" s="287"/>
      <c r="H1416" s="287"/>
      <c r="I1416" t="s">
        <v>382</v>
      </c>
      <c r="J1416" t="s">
        <v>42</v>
      </c>
    </row>
    <row r="1417" spans="1:10" x14ac:dyDescent="0.25">
      <c r="A1417" t="s">
        <v>390</v>
      </c>
      <c r="C1417" s="286">
        <v>42518.77238425926</v>
      </c>
      <c r="D1417" t="s">
        <v>382</v>
      </c>
      <c r="E1417">
        <v>0</v>
      </c>
      <c r="F1417" s="287"/>
      <c r="G1417" s="287"/>
      <c r="H1417" s="287"/>
      <c r="I1417" t="s">
        <v>382</v>
      </c>
      <c r="J1417" t="s">
        <v>42</v>
      </c>
    </row>
    <row r="1418" spans="1:10" x14ac:dyDescent="0.25">
      <c r="A1418" t="s">
        <v>396</v>
      </c>
      <c r="C1418" s="286">
        <v>42518.904062499998</v>
      </c>
      <c r="D1418" t="s">
        <v>382</v>
      </c>
      <c r="E1418">
        <v>0</v>
      </c>
      <c r="F1418" s="287"/>
      <c r="G1418" s="287"/>
      <c r="H1418" s="287"/>
      <c r="I1418" t="s">
        <v>382</v>
      </c>
      <c r="J1418" t="s">
        <v>42</v>
      </c>
    </row>
    <row r="1419" spans="1:10" x14ac:dyDescent="0.25">
      <c r="A1419" t="s">
        <v>390</v>
      </c>
      <c r="C1419" s="286">
        <v>42519.712256944447</v>
      </c>
      <c r="D1419" t="s">
        <v>382</v>
      </c>
      <c r="E1419">
        <v>0</v>
      </c>
      <c r="F1419" s="287"/>
      <c r="G1419" s="287"/>
      <c r="H1419" s="287"/>
      <c r="I1419" t="s">
        <v>382</v>
      </c>
      <c r="J1419" t="s">
        <v>42</v>
      </c>
    </row>
    <row r="1420" spans="1:10" x14ac:dyDescent="0.25">
      <c r="A1420" t="s">
        <v>390</v>
      </c>
      <c r="C1420" s="286">
        <v>42519.78193287037</v>
      </c>
      <c r="D1420" t="s">
        <v>382</v>
      </c>
      <c r="E1420">
        <v>0</v>
      </c>
      <c r="F1420" s="287"/>
      <c r="G1420" s="287"/>
      <c r="H1420" s="287"/>
      <c r="I1420" t="s">
        <v>382</v>
      </c>
      <c r="J1420" t="s">
        <v>42</v>
      </c>
    </row>
    <row r="1421" spans="1:10" x14ac:dyDescent="0.25">
      <c r="A1421" t="s">
        <v>396</v>
      </c>
      <c r="C1421" s="286">
        <v>42519.901516203703</v>
      </c>
      <c r="D1421" t="s">
        <v>382</v>
      </c>
      <c r="E1421">
        <v>0</v>
      </c>
      <c r="F1421" s="287"/>
      <c r="G1421" s="287"/>
      <c r="H1421" s="287"/>
      <c r="I1421" t="s">
        <v>382</v>
      </c>
      <c r="J1421" t="s">
        <v>42</v>
      </c>
    </row>
    <row r="1422" spans="1:10" x14ac:dyDescent="0.25">
      <c r="A1422" t="s">
        <v>390</v>
      </c>
      <c r="C1422" s="286">
        <v>42519.997106481482</v>
      </c>
      <c r="D1422" t="s">
        <v>382</v>
      </c>
      <c r="E1422">
        <v>0</v>
      </c>
      <c r="F1422" s="287"/>
      <c r="G1422" s="287"/>
      <c r="H1422" s="287"/>
      <c r="I1422" t="s">
        <v>382</v>
      </c>
      <c r="J1422" t="s">
        <v>42</v>
      </c>
    </row>
    <row r="1423" spans="1:10" x14ac:dyDescent="0.25">
      <c r="A1423" t="s">
        <v>390</v>
      </c>
      <c r="C1423" s="286">
        <v>42520.709247685183</v>
      </c>
      <c r="D1423" t="s">
        <v>382</v>
      </c>
      <c r="E1423">
        <v>0</v>
      </c>
      <c r="F1423" s="287"/>
      <c r="G1423" s="287"/>
      <c r="H1423" s="287"/>
      <c r="I1423" t="s">
        <v>382</v>
      </c>
      <c r="J1423" t="s">
        <v>42</v>
      </c>
    </row>
    <row r="1424" spans="1:10" x14ac:dyDescent="0.25">
      <c r="A1424" t="s">
        <v>390</v>
      </c>
      <c r="C1424" s="286">
        <v>42520.842349537037</v>
      </c>
      <c r="D1424" t="s">
        <v>382</v>
      </c>
      <c r="E1424">
        <v>0</v>
      </c>
      <c r="F1424" s="287"/>
      <c r="G1424" s="287"/>
      <c r="H1424" s="287"/>
      <c r="I1424" t="s">
        <v>382</v>
      </c>
      <c r="J1424" t="s">
        <v>42</v>
      </c>
    </row>
    <row r="1425" spans="1:10" x14ac:dyDescent="0.25">
      <c r="A1425" t="s">
        <v>396</v>
      </c>
      <c r="C1425" s="286">
        <v>42520.916122685187</v>
      </c>
      <c r="D1425" t="s">
        <v>382</v>
      </c>
      <c r="E1425">
        <v>0</v>
      </c>
      <c r="F1425" s="287"/>
      <c r="G1425" s="287"/>
      <c r="H1425" s="287"/>
      <c r="I1425" t="s">
        <v>382</v>
      </c>
      <c r="J1425" t="s">
        <v>42</v>
      </c>
    </row>
    <row r="1426" spans="1:10" x14ac:dyDescent="0.25">
      <c r="A1426" t="s">
        <v>390</v>
      </c>
      <c r="C1426" s="286">
        <v>42521.587847222225</v>
      </c>
      <c r="D1426" t="s">
        <v>382</v>
      </c>
      <c r="E1426">
        <v>0</v>
      </c>
      <c r="F1426" s="287"/>
      <c r="G1426" s="287"/>
      <c r="H1426" s="287"/>
      <c r="I1426" t="s">
        <v>382</v>
      </c>
      <c r="J1426" t="s">
        <v>42</v>
      </c>
    </row>
    <row r="1427" spans="1:10" x14ac:dyDescent="0.25">
      <c r="A1427" t="s">
        <v>390</v>
      </c>
      <c r="C1427" s="286">
        <v>42521.713969907411</v>
      </c>
      <c r="D1427" t="s">
        <v>382</v>
      </c>
      <c r="E1427">
        <v>0</v>
      </c>
      <c r="F1427" s="287"/>
      <c r="G1427" s="287"/>
      <c r="H1427" s="287"/>
      <c r="I1427" t="s">
        <v>382</v>
      </c>
      <c r="J1427" t="s">
        <v>42</v>
      </c>
    </row>
    <row r="1428" spans="1:10" x14ac:dyDescent="0.25">
      <c r="A1428" t="s">
        <v>390</v>
      </c>
      <c r="C1428" s="286">
        <v>42521.989444444444</v>
      </c>
      <c r="D1428" t="s">
        <v>382</v>
      </c>
      <c r="E1428">
        <v>0</v>
      </c>
      <c r="F1428" s="287"/>
      <c r="G1428" s="287"/>
      <c r="H1428" s="287"/>
      <c r="I1428" t="s">
        <v>382</v>
      </c>
      <c r="J1428" t="s">
        <v>42</v>
      </c>
    </row>
    <row r="1429" spans="1:10" x14ac:dyDescent="0.25">
      <c r="A1429" t="s">
        <v>396</v>
      </c>
      <c r="C1429" s="286">
        <v>42522.349594907406</v>
      </c>
      <c r="D1429" t="s">
        <v>382</v>
      </c>
      <c r="E1429">
        <v>0</v>
      </c>
      <c r="F1429" s="287"/>
      <c r="G1429" s="287"/>
      <c r="H1429" s="287"/>
      <c r="I1429" t="s">
        <v>382</v>
      </c>
      <c r="J1429" t="s">
        <v>42</v>
      </c>
    </row>
    <row r="1430" spans="1:10" x14ac:dyDescent="0.25">
      <c r="A1430" t="s">
        <v>390</v>
      </c>
      <c r="C1430" s="286">
        <v>42522.579710648148</v>
      </c>
      <c r="D1430" t="s">
        <v>382</v>
      </c>
      <c r="E1430">
        <v>0</v>
      </c>
      <c r="F1430" s="287"/>
      <c r="G1430" s="287"/>
      <c r="H1430" s="287"/>
      <c r="I1430" t="s">
        <v>382</v>
      </c>
      <c r="J1430" t="s">
        <v>42</v>
      </c>
    </row>
    <row r="1431" spans="1:10" x14ac:dyDescent="0.25">
      <c r="A1431" t="s">
        <v>390</v>
      </c>
      <c r="C1431" s="286">
        <v>42522.722650462965</v>
      </c>
      <c r="D1431" t="s">
        <v>382</v>
      </c>
      <c r="E1431">
        <v>0</v>
      </c>
      <c r="F1431" s="287"/>
      <c r="G1431" s="287"/>
      <c r="H1431" s="287"/>
      <c r="I1431" t="s">
        <v>382</v>
      </c>
      <c r="J1431" t="s">
        <v>42</v>
      </c>
    </row>
    <row r="1432" spans="1:10" x14ac:dyDescent="0.25">
      <c r="A1432" t="s">
        <v>390</v>
      </c>
      <c r="C1432" s="286">
        <v>42522.828819444447</v>
      </c>
      <c r="D1432" t="s">
        <v>382</v>
      </c>
      <c r="E1432">
        <v>0</v>
      </c>
      <c r="F1432" s="287"/>
      <c r="G1432" s="287"/>
      <c r="H1432" s="287"/>
      <c r="I1432" t="s">
        <v>382</v>
      </c>
      <c r="J1432" t="s">
        <v>42</v>
      </c>
    </row>
    <row r="1433" spans="1:10" x14ac:dyDescent="0.25">
      <c r="A1433" t="s">
        <v>390</v>
      </c>
      <c r="C1433" s="286">
        <v>42522.879780092589</v>
      </c>
      <c r="D1433" t="s">
        <v>382</v>
      </c>
      <c r="E1433">
        <v>0</v>
      </c>
      <c r="F1433" s="287"/>
      <c r="G1433" s="287"/>
      <c r="H1433" s="287"/>
      <c r="I1433" t="s">
        <v>382</v>
      </c>
      <c r="J1433" t="s">
        <v>42</v>
      </c>
    </row>
    <row r="1434" spans="1:10" x14ac:dyDescent="0.25">
      <c r="A1434" t="s">
        <v>390</v>
      </c>
      <c r="C1434" s="286">
        <v>42523.711134259262</v>
      </c>
      <c r="D1434" t="s">
        <v>382</v>
      </c>
      <c r="E1434">
        <v>0</v>
      </c>
      <c r="F1434" s="287"/>
      <c r="G1434" s="287"/>
      <c r="H1434" s="287"/>
      <c r="I1434" t="s">
        <v>382</v>
      </c>
      <c r="J1434" t="s">
        <v>42</v>
      </c>
    </row>
    <row r="1435" spans="1:10" x14ac:dyDescent="0.25">
      <c r="A1435" t="s">
        <v>390</v>
      </c>
      <c r="C1435" s="286">
        <v>42523.751840277779</v>
      </c>
      <c r="D1435" t="s">
        <v>382</v>
      </c>
      <c r="E1435">
        <v>0</v>
      </c>
      <c r="F1435" s="287"/>
      <c r="G1435" s="287"/>
      <c r="H1435" s="287"/>
      <c r="I1435" t="s">
        <v>382</v>
      </c>
      <c r="J1435" t="s">
        <v>42</v>
      </c>
    </row>
    <row r="1436" spans="1:10" x14ac:dyDescent="0.25">
      <c r="A1436" t="s">
        <v>390</v>
      </c>
      <c r="C1436" s="286">
        <v>42523.768391203703</v>
      </c>
      <c r="D1436" t="s">
        <v>382</v>
      </c>
      <c r="E1436">
        <v>0</v>
      </c>
      <c r="F1436" s="287"/>
      <c r="G1436" s="287"/>
      <c r="H1436" s="287"/>
      <c r="I1436" t="s">
        <v>382</v>
      </c>
      <c r="J1436" t="s">
        <v>42</v>
      </c>
    </row>
    <row r="1437" spans="1:10" x14ac:dyDescent="0.25">
      <c r="A1437" t="s">
        <v>390</v>
      </c>
      <c r="C1437" s="286">
        <v>42523.799872685187</v>
      </c>
      <c r="D1437" t="s">
        <v>382</v>
      </c>
      <c r="E1437">
        <v>0</v>
      </c>
      <c r="F1437" s="287"/>
      <c r="G1437" s="287"/>
      <c r="H1437" s="287"/>
      <c r="I1437" t="s">
        <v>382</v>
      </c>
      <c r="J1437" t="s">
        <v>42</v>
      </c>
    </row>
    <row r="1438" spans="1:10" x14ac:dyDescent="0.25">
      <c r="A1438" t="s">
        <v>435</v>
      </c>
      <c r="C1438" s="286">
        <v>42523.861759259256</v>
      </c>
      <c r="D1438" t="s">
        <v>382</v>
      </c>
      <c r="E1438">
        <v>0</v>
      </c>
      <c r="F1438" s="287"/>
      <c r="G1438" s="287"/>
      <c r="H1438" s="287"/>
      <c r="I1438" t="s">
        <v>382</v>
      </c>
      <c r="J1438" t="s">
        <v>42</v>
      </c>
    </row>
    <row r="1439" spans="1:10" x14ac:dyDescent="0.25">
      <c r="A1439" t="s">
        <v>390</v>
      </c>
      <c r="C1439" s="286">
        <v>42524.585231481484</v>
      </c>
      <c r="D1439" t="s">
        <v>382</v>
      </c>
      <c r="E1439">
        <v>0</v>
      </c>
      <c r="F1439" s="287"/>
      <c r="G1439" s="287"/>
      <c r="H1439" s="287"/>
      <c r="I1439" t="s">
        <v>382</v>
      </c>
      <c r="J1439" t="s">
        <v>42</v>
      </c>
    </row>
    <row r="1440" spans="1:10" x14ac:dyDescent="0.25">
      <c r="A1440" t="s">
        <v>390</v>
      </c>
      <c r="C1440" s="286">
        <v>42524.695509259262</v>
      </c>
      <c r="D1440" t="s">
        <v>382</v>
      </c>
      <c r="E1440">
        <v>0</v>
      </c>
      <c r="F1440" s="287"/>
      <c r="G1440" s="287"/>
      <c r="H1440" s="287"/>
      <c r="I1440" t="s">
        <v>382</v>
      </c>
      <c r="J1440" t="s">
        <v>42</v>
      </c>
    </row>
    <row r="1441" spans="1:10" x14ac:dyDescent="0.25">
      <c r="A1441" t="s">
        <v>390</v>
      </c>
      <c r="C1441" s="286">
        <v>42524.714398148149</v>
      </c>
      <c r="D1441" t="s">
        <v>382</v>
      </c>
      <c r="E1441">
        <v>0</v>
      </c>
      <c r="F1441" s="287"/>
      <c r="G1441" s="287"/>
      <c r="H1441" s="287"/>
      <c r="I1441" t="s">
        <v>382</v>
      </c>
      <c r="J1441" t="s">
        <v>42</v>
      </c>
    </row>
    <row r="1442" spans="1:10" x14ac:dyDescent="0.25">
      <c r="A1442" t="s">
        <v>390</v>
      </c>
      <c r="C1442" s="286">
        <v>42524.820914351854</v>
      </c>
      <c r="D1442" t="s">
        <v>382</v>
      </c>
      <c r="E1442">
        <v>0</v>
      </c>
      <c r="F1442" s="287"/>
      <c r="G1442" s="287"/>
      <c r="H1442" s="287"/>
      <c r="I1442" t="s">
        <v>382</v>
      </c>
      <c r="J1442" t="s">
        <v>42</v>
      </c>
    </row>
    <row r="1443" spans="1:10" x14ac:dyDescent="0.25">
      <c r="A1443" t="s">
        <v>390</v>
      </c>
      <c r="C1443" s="286">
        <v>42524.846666666665</v>
      </c>
      <c r="D1443" t="s">
        <v>382</v>
      </c>
      <c r="E1443">
        <v>0</v>
      </c>
      <c r="F1443" s="287"/>
      <c r="G1443" s="287"/>
      <c r="H1443" s="287"/>
      <c r="I1443" t="s">
        <v>382</v>
      </c>
      <c r="J1443" t="s">
        <v>42</v>
      </c>
    </row>
    <row r="1444" spans="1:10" x14ac:dyDescent="0.25">
      <c r="A1444" t="s">
        <v>396</v>
      </c>
      <c r="C1444" s="286">
        <v>42524.886574074073</v>
      </c>
      <c r="D1444" t="s">
        <v>382</v>
      </c>
      <c r="E1444">
        <v>0</v>
      </c>
      <c r="F1444" s="287"/>
      <c r="G1444" s="287"/>
      <c r="H1444" s="287"/>
      <c r="I1444" t="s">
        <v>382</v>
      </c>
      <c r="J1444" t="s">
        <v>42</v>
      </c>
    </row>
    <row r="1445" spans="1:10" x14ac:dyDescent="0.25">
      <c r="A1445" t="s">
        <v>434</v>
      </c>
      <c r="C1445" s="286">
        <v>42525.62667824074</v>
      </c>
      <c r="D1445" t="s">
        <v>382</v>
      </c>
      <c r="E1445">
        <v>0</v>
      </c>
      <c r="F1445" s="287"/>
      <c r="G1445" s="287"/>
      <c r="H1445" s="287"/>
      <c r="I1445" t="s">
        <v>382</v>
      </c>
      <c r="J1445" t="s">
        <v>42</v>
      </c>
    </row>
    <row r="1446" spans="1:10" x14ac:dyDescent="0.25">
      <c r="A1446" t="s">
        <v>390</v>
      </c>
      <c r="C1446" s="286">
        <v>42525.662800925929</v>
      </c>
      <c r="D1446" t="s">
        <v>382</v>
      </c>
      <c r="E1446">
        <v>0</v>
      </c>
      <c r="F1446" s="287"/>
      <c r="G1446" s="287"/>
      <c r="H1446" s="287"/>
      <c r="I1446" t="s">
        <v>382</v>
      </c>
      <c r="J1446" t="s">
        <v>42</v>
      </c>
    </row>
    <row r="1447" spans="1:10" x14ac:dyDescent="0.25">
      <c r="A1447" t="s">
        <v>390</v>
      </c>
      <c r="C1447" s="286">
        <v>42525.708865740744</v>
      </c>
      <c r="D1447" t="s">
        <v>382</v>
      </c>
      <c r="E1447">
        <v>0</v>
      </c>
      <c r="F1447" s="287"/>
      <c r="G1447" s="287"/>
      <c r="H1447" s="287"/>
      <c r="I1447" t="s">
        <v>382</v>
      </c>
      <c r="J1447" t="s">
        <v>42</v>
      </c>
    </row>
    <row r="1448" spans="1:10" x14ac:dyDescent="0.25">
      <c r="A1448" t="s">
        <v>390</v>
      </c>
      <c r="C1448" s="286">
        <v>42525.790046296293</v>
      </c>
      <c r="D1448" t="s">
        <v>382</v>
      </c>
      <c r="E1448">
        <v>0</v>
      </c>
      <c r="F1448" s="287"/>
      <c r="G1448" s="287"/>
      <c r="H1448" s="287"/>
      <c r="I1448" t="s">
        <v>382</v>
      </c>
      <c r="J1448" t="s">
        <v>42</v>
      </c>
    </row>
    <row r="1449" spans="1:10" x14ac:dyDescent="0.25">
      <c r="A1449" t="s">
        <v>390</v>
      </c>
      <c r="C1449" s="286">
        <v>42526.045497685183</v>
      </c>
      <c r="D1449" t="s">
        <v>382</v>
      </c>
      <c r="E1449">
        <v>0</v>
      </c>
      <c r="F1449" s="287"/>
      <c r="G1449" s="287"/>
      <c r="H1449" s="287"/>
      <c r="I1449" t="s">
        <v>382</v>
      </c>
      <c r="J1449" t="s">
        <v>42</v>
      </c>
    </row>
    <row r="1450" spans="1:10" x14ac:dyDescent="0.25">
      <c r="A1450" t="s">
        <v>390</v>
      </c>
      <c r="C1450" s="286">
        <v>42526.127569444441</v>
      </c>
      <c r="D1450" t="s">
        <v>382</v>
      </c>
      <c r="E1450">
        <v>0</v>
      </c>
      <c r="F1450" s="287"/>
      <c r="G1450" s="287"/>
      <c r="H1450" s="287"/>
      <c r="I1450" t="s">
        <v>382</v>
      </c>
      <c r="J1450" t="s">
        <v>42</v>
      </c>
    </row>
    <row r="1451" spans="1:10" x14ac:dyDescent="0.25">
      <c r="A1451" t="s">
        <v>390</v>
      </c>
      <c r="C1451" s="286">
        <v>42526.491157407407</v>
      </c>
      <c r="D1451" t="s">
        <v>382</v>
      </c>
      <c r="E1451">
        <v>0</v>
      </c>
      <c r="F1451" s="287"/>
      <c r="G1451" s="287"/>
      <c r="H1451" s="287"/>
      <c r="I1451" t="s">
        <v>382</v>
      </c>
      <c r="J1451" t="s">
        <v>42</v>
      </c>
    </row>
    <row r="1452" spans="1:10" x14ac:dyDescent="0.25">
      <c r="A1452" t="s">
        <v>390</v>
      </c>
      <c r="C1452" s="286">
        <v>42526.584814814814</v>
      </c>
      <c r="D1452" t="s">
        <v>382</v>
      </c>
      <c r="E1452">
        <v>0</v>
      </c>
      <c r="F1452" s="287"/>
      <c r="G1452" s="287"/>
      <c r="H1452" s="287"/>
      <c r="I1452" t="s">
        <v>382</v>
      </c>
      <c r="J1452" t="s">
        <v>42</v>
      </c>
    </row>
    <row r="1453" spans="1:10" x14ac:dyDescent="0.25">
      <c r="A1453" t="s">
        <v>390</v>
      </c>
      <c r="C1453" s="286">
        <v>42526.737037037034</v>
      </c>
      <c r="D1453" t="s">
        <v>382</v>
      </c>
      <c r="E1453">
        <v>0</v>
      </c>
      <c r="F1453" s="287"/>
      <c r="G1453" s="287"/>
      <c r="H1453" s="287"/>
      <c r="I1453" t="s">
        <v>382</v>
      </c>
      <c r="J1453" t="s">
        <v>42</v>
      </c>
    </row>
    <row r="1454" spans="1:10" x14ac:dyDescent="0.25">
      <c r="A1454" t="s">
        <v>390</v>
      </c>
      <c r="C1454" s="286">
        <v>42526.762025462966</v>
      </c>
      <c r="D1454" t="s">
        <v>382</v>
      </c>
      <c r="E1454">
        <v>0</v>
      </c>
      <c r="F1454" s="287"/>
      <c r="G1454" s="287"/>
      <c r="H1454" s="287"/>
      <c r="I1454" t="s">
        <v>382</v>
      </c>
      <c r="J1454" t="s">
        <v>42</v>
      </c>
    </row>
    <row r="1455" spans="1:10" x14ac:dyDescent="0.25">
      <c r="A1455" t="s">
        <v>390</v>
      </c>
      <c r="C1455" s="286">
        <v>42526.782083333332</v>
      </c>
      <c r="D1455" t="s">
        <v>382</v>
      </c>
      <c r="E1455">
        <v>0</v>
      </c>
      <c r="F1455" s="287"/>
      <c r="G1455" s="287"/>
      <c r="H1455" s="287"/>
      <c r="I1455" t="s">
        <v>382</v>
      </c>
      <c r="J1455" t="s">
        <v>42</v>
      </c>
    </row>
    <row r="1456" spans="1:10" x14ac:dyDescent="0.25">
      <c r="A1456" t="s">
        <v>396</v>
      </c>
      <c r="C1456" s="286">
        <v>42526.88790509259</v>
      </c>
      <c r="D1456" t="s">
        <v>382</v>
      </c>
      <c r="E1456">
        <v>0</v>
      </c>
      <c r="F1456" s="287"/>
      <c r="G1456" s="287"/>
      <c r="H1456" s="287"/>
      <c r="I1456" t="s">
        <v>382</v>
      </c>
      <c r="J1456" t="s">
        <v>42</v>
      </c>
    </row>
    <row r="1457" spans="1:10" x14ac:dyDescent="0.25">
      <c r="A1457" t="s">
        <v>390</v>
      </c>
      <c r="C1457" s="286">
        <v>42526.967650462961</v>
      </c>
      <c r="D1457" t="s">
        <v>382</v>
      </c>
      <c r="E1457">
        <v>0</v>
      </c>
      <c r="F1457" s="287"/>
      <c r="G1457" s="287"/>
      <c r="H1457" s="287"/>
      <c r="I1457" t="s">
        <v>382</v>
      </c>
      <c r="J1457" t="s">
        <v>42</v>
      </c>
    </row>
    <row r="1458" spans="1:10" x14ac:dyDescent="0.25">
      <c r="A1458" t="s">
        <v>390</v>
      </c>
      <c r="C1458" s="286">
        <v>42527.763287037036</v>
      </c>
      <c r="D1458" t="s">
        <v>382</v>
      </c>
      <c r="E1458">
        <v>0</v>
      </c>
      <c r="F1458" s="287"/>
      <c r="G1458" s="287"/>
      <c r="H1458" s="287"/>
      <c r="I1458" t="s">
        <v>382</v>
      </c>
      <c r="J1458" t="s">
        <v>42</v>
      </c>
    </row>
    <row r="1459" spans="1:10" x14ac:dyDescent="0.25">
      <c r="A1459" t="s">
        <v>390</v>
      </c>
      <c r="C1459" s="286">
        <v>42528.503333333334</v>
      </c>
      <c r="D1459" t="s">
        <v>382</v>
      </c>
      <c r="E1459">
        <v>0</v>
      </c>
      <c r="F1459" s="287"/>
      <c r="G1459" s="287"/>
      <c r="H1459" s="287"/>
      <c r="I1459" t="s">
        <v>382</v>
      </c>
      <c r="J1459" t="s">
        <v>42</v>
      </c>
    </row>
    <row r="1460" spans="1:10" x14ac:dyDescent="0.25">
      <c r="A1460" t="s">
        <v>390</v>
      </c>
      <c r="C1460" s="286">
        <v>42528.588055555556</v>
      </c>
      <c r="D1460" t="s">
        <v>382</v>
      </c>
      <c r="E1460">
        <v>0</v>
      </c>
      <c r="F1460" s="287"/>
      <c r="G1460" s="287"/>
      <c r="H1460" s="287"/>
      <c r="I1460" t="s">
        <v>382</v>
      </c>
      <c r="J1460" t="s">
        <v>42</v>
      </c>
    </row>
    <row r="1461" spans="1:10" x14ac:dyDescent="0.25">
      <c r="A1461" t="s">
        <v>390</v>
      </c>
      <c r="C1461" s="286">
        <v>42528.671076388891</v>
      </c>
      <c r="D1461" t="s">
        <v>382</v>
      </c>
      <c r="E1461">
        <v>0</v>
      </c>
      <c r="F1461" s="287"/>
      <c r="G1461" s="287"/>
      <c r="H1461" s="287"/>
      <c r="I1461" t="s">
        <v>382</v>
      </c>
      <c r="J1461" t="s">
        <v>42</v>
      </c>
    </row>
    <row r="1462" spans="1:10" x14ac:dyDescent="0.25">
      <c r="A1462" t="s">
        <v>396</v>
      </c>
      <c r="C1462" s="286">
        <v>42528.826782407406</v>
      </c>
      <c r="D1462" t="s">
        <v>382</v>
      </c>
      <c r="E1462">
        <v>0</v>
      </c>
      <c r="F1462" s="287"/>
      <c r="G1462" s="287"/>
      <c r="H1462" s="287"/>
      <c r="I1462" t="s">
        <v>382</v>
      </c>
      <c r="J1462" t="s">
        <v>42</v>
      </c>
    </row>
    <row r="1463" spans="1:10" x14ac:dyDescent="0.25">
      <c r="A1463" t="s">
        <v>390</v>
      </c>
      <c r="C1463" s="286">
        <v>42528.919942129629</v>
      </c>
      <c r="D1463" t="s">
        <v>382</v>
      </c>
      <c r="E1463">
        <v>0</v>
      </c>
      <c r="F1463" s="287"/>
      <c r="G1463" s="287"/>
      <c r="H1463" s="287"/>
      <c r="I1463" t="s">
        <v>382</v>
      </c>
      <c r="J1463" t="s">
        <v>42</v>
      </c>
    </row>
    <row r="1464" spans="1:10" x14ac:dyDescent="0.25">
      <c r="A1464" t="s">
        <v>390</v>
      </c>
      <c r="C1464" s="286">
        <v>42529.589814814812</v>
      </c>
      <c r="D1464" t="s">
        <v>382</v>
      </c>
      <c r="E1464">
        <v>0</v>
      </c>
      <c r="F1464" s="287"/>
      <c r="G1464" s="287"/>
      <c r="H1464" s="287"/>
      <c r="I1464" t="s">
        <v>382</v>
      </c>
      <c r="J1464" t="s">
        <v>42</v>
      </c>
    </row>
    <row r="1465" spans="1:10" x14ac:dyDescent="0.25">
      <c r="A1465" t="s">
        <v>390</v>
      </c>
      <c r="C1465" s="286">
        <v>42529.780636574076</v>
      </c>
      <c r="D1465" t="s">
        <v>382</v>
      </c>
      <c r="E1465">
        <v>0</v>
      </c>
      <c r="F1465" s="287"/>
      <c r="G1465" s="287"/>
      <c r="H1465" s="287"/>
      <c r="I1465" t="s">
        <v>382</v>
      </c>
      <c r="J1465" t="s">
        <v>42</v>
      </c>
    </row>
    <row r="1466" spans="1:10" x14ac:dyDescent="0.25">
      <c r="A1466" t="s">
        <v>390</v>
      </c>
      <c r="C1466" s="286">
        <v>42529.853310185186</v>
      </c>
      <c r="D1466" t="s">
        <v>382</v>
      </c>
      <c r="E1466">
        <v>0</v>
      </c>
      <c r="F1466" s="287"/>
      <c r="G1466" s="287"/>
      <c r="H1466" s="287"/>
      <c r="I1466" t="s">
        <v>382</v>
      </c>
      <c r="J1466" t="s">
        <v>42</v>
      </c>
    </row>
    <row r="1467" spans="1:10" x14ac:dyDescent="0.25">
      <c r="A1467" t="s">
        <v>390</v>
      </c>
      <c r="C1467" s="286">
        <v>42529.946111111109</v>
      </c>
      <c r="D1467" t="s">
        <v>382</v>
      </c>
      <c r="E1467">
        <v>0</v>
      </c>
      <c r="F1467" s="287"/>
      <c r="G1467" s="287"/>
      <c r="H1467" s="287"/>
      <c r="I1467" t="s">
        <v>382</v>
      </c>
      <c r="J1467" t="s">
        <v>42</v>
      </c>
    </row>
    <row r="1468" spans="1:10" x14ac:dyDescent="0.25">
      <c r="A1468" t="s">
        <v>390</v>
      </c>
      <c r="C1468" s="286">
        <v>42530.190925925926</v>
      </c>
      <c r="D1468" t="s">
        <v>382</v>
      </c>
      <c r="E1468">
        <v>0</v>
      </c>
      <c r="F1468" s="287"/>
      <c r="G1468" s="287"/>
      <c r="H1468" s="287"/>
      <c r="I1468" t="s">
        <v>382</v>
      </c>
      <c r="J1468" t="s">
        <v>42</v>
      </c>
    </row>
    <row r="1469" spans="1:10" x14ac:dyDescent="0.25">
      <c r="A1469" t="s">
        <v>390</v>
      </c>
      <c r="C1469" s="286">
        <v>42530.457083333335</v>
      </c>
      <c r="D1469" t="s">
        <v>382</v>
      </c>
      <c r="E1469">
        <v>0</v>
      </c>
      <c r="F1469" s="287"/>
      <c r="G1469" s="287"/>
      <c r="H1469" s="287"/>
      <c r="I1469" t="s">
        <v>382</v>
      </c>
      <c r="J1469" t="s">
        <v>42</v>
      </c>
    </row>
    <row r="1470" spans="1:10" x14ac:dyDescent="0.25">
      <c r="A1470" t="s">
        <v>390</v>
      </c>
      <c r="C1470" s="286">
        <v>42530.48810185185</v>
      </c>
      <c r="D1470" t="s">
        <v>382</v>
      </c>
      <c r="E1470">
        <v>0</v>
      </c>
      <c r="F1470" s="287"/>
      <c r="G1470" s="287"/>
      <c r="H1470" s="287"/>
      <c r="I1470" t="s">
        <v>382</v>
      </c>
      <c r="J1470" t="s">
        <v>42</v>
      </c>
    </row>
    <row r="1471" spans="1:10" x14ac:dyDescent="0.25">
      <c r="A1471" t="s">
        <v>390</v>
      </c>
      <c r="C1471" s="286">
        <v>42530.503796296296</v>
      </c>
      <c r="D1471" t="s">
        <v>382</v>
      </c>
      <c r="E1471">
        <v>0</v>
      </c>
      <c r="F1471" s="287"/>
      <c r="G1471" s="287"/>
      <c r="H1471" s="287"/>
      <c r="I1471" t="s">
        <v>382</v>
      </c>
      <c r="J1471" t="s">
        <v>42</v>
      </c>
    </row>
    <row r="1472" spans="1:10" x14ac:dyDescent="0.25">
      <c r="A1472" t="s">
        <v>390</v>
      </c>
      <c r="C1472" s="286">
        <v>42530.653668981482</v>
      </c>
      <c r="D1472" t="s">
        <v>382</v>
      </c>
      <c r="E1472">
        <v>0</v>
      </c>
      <c r="F1472" s="287"/>
      <c r="G1472" s="287"/>
      <c r="H1472" s="287"/>
      <c r="I1472" t="s">
        <v>382</v>
      </c>
      <c r="J1472" t="s">
        <v>42</v>
      </c>
    </row>
    <row r="1473" spans="1:10" x14ac:dyDescent="0.25">
      <c r="A1473" t="s">
        <v>416</v>
      </c>
      <c r="C1473" s="286">
        <v>42530.785185185188</v>
      </c>
      <c r="D1473" t="s">
        <v>382</v>
      </c>
      <c r="E1473">
        <v>0</v>
      </c>
      <c r="F1473" s="287"/>
      <c r="G1473" s="287"/>
      <c r="H1473" s="287"/>
      <c r="I1473" t="s">
        <v>382</v>
      </c>
      <c r="J1473" t="s">
        <v>42</v>
      </c>
    </row>
    <row r="1474" spans="1:10" x14ac:dyDescent="0.25">
      <c r="A1474" t="s">
        <v>416</v>
      </c>
      <c r="C1474" s="286">
        <v>42530.785694444443</v>
      </c>
      <c r="D1474" t="s">
        <v>382</v>
      </c>
      <c r="E1474">
        <v>0</v>
      </c>
      <c r="F1474" s="287"/>
      <c r="G1474" s="287"/>
      <c r="H1474" s="287"/>
      <c r="I1474" t="s">
        <v>382</v>
      </c>
      <c r="J1474" t="s">
        <v>42</v>
      </c>
    </row>
    <row r="1475" spans="1:10" x14ac:dyDescent="0.25">
      <c r="A1475" t="s">
        <v>405</v>
      </c>
      <c r="C1475" s="286">
        <v>42530.786550925928</v>
      </c>
      <c r="D1475" t="s">
        <v>382</v>
      </c>
      <c r="E1475">
        <v>0</v>
      </c>
      <c r="F1475" s="287"/>
      <c r="G1475" s="287"/>
      <c r="H1475" s="287"/>
      <c r="I1475" t="s">
        <v>382</v>
      </c>
      <c r="J1475" t="s">
        <v>42</v>
      </c>
    </row>
    <row r="1476" spans="1:10" x14ac:dyDescent="0.25">
      <c r="A1476" t="s">
        <v>390</v>
      </c>
      <c r="C1476" s="286">
        <v>42530.825324074074</v>
      </c>
      <c r="D1476" t="s">
        <v>382</v>
      </c>
      <c r="E1476">
        <v>0</v>
      </c>
      <c r="F1476" s="287"/>
      <c r="G1476" s="287"/>
      <c r="H1476" s="287"/>
      <c r="I1476" t="s">
        <v>382</v>
      </c>
      <c r="J1476" t="s">
        <v>42</v>
      </c>
    </row>
    <row r="1477" spans="1:10" x14ac:dyDescent="0.25">
      <c r="A1477" t="s">
        <v>396</v>
      </c>
      <c r="C1477" s="286">
        <v>42530.850810185184</v>
      </c>
      <c r="D1477" t="s">
        <v>382</v>
      </c>
      <c r="E1477">
        <v>0</v>
      </c>
      <c r="F1477" s="287"/>
      <c r="G1477" s="287"/>
      <c r="H1477" s="287"/>
      <c r="I1477" t="s">
        <v>382</v>
      </c>
      <c r="J1477" t="s">
        <v>42</v>
      </c>
    </row>
    <row r="1478" spans="1:10" x14ac:dyDescent="0.25">
      <c r="A1478" t="s">
        <v>390</v>
      </c>
      <c r="C1478" s="286">
        <v>42530.884756944448</v>
      </c>
      <c r="D1478" t="s">
        <v>382</v>
      </c>
      <c r="E1478">
        <v>0</v>
      </c>
      <c r="F1478" s="287"/>
      <c r="G1478" s="287"/>
      <c r="H1478" s="287"/>
      <c r="I1478" t="s">
        <v>382</v>
      </c>
      <c r="J1478" t="s">
        <v>42</v>
      </c>
    </row>
    <row r="1479" spans="1:10" x14ac:dyDescent="0.25">
      <c r="A1479" t="s">
        <v>390</v>
      </c>
      <c r="C1479" s="286">
        <v>42531.586388888885</v>
      </c>
      <c r="D1479" t="s">
        <v>382</v>
      </c>
      <c r="E1479">
        <v>0</v>
      </c>
      <c r="F1479" s="287"/>
      <c r="G1479" s="287"/>
      <c r="H1479" s="287"/>
      <c r="I1479" t="s">
        <v>382</v>
      </c>
      <c r="J1479" t="s">
        <v>42</v>
      </c>
    </row>
    <row r="1480" spans="1:10" x14ac:dyDescent="0.25">
      <c r="A1480" t="s">
        <v>390</v>
      </c>
      <c r="C1480" s="286">
        <v>42531.718101851853</v>
      </c>
      <c r="D1480" t="s">
        <v>382</v>
      </c>
      <c r="E1480">
        <v>0</v>
      </c>
      <c r="F1480" s="287"/>
      <c r="G1480" s="287"/>
      <c r="H1480" s="287"/>
      <c r="I1480" t="s">
        <v>382</v>
      </c>
      <c r="J1480" t="s">
        <v>42</v>
      </c>
    </row>
    <row r="1481" spans="1:10" x14ac:dyDescent="0.25">
      <c r="A1481" t="s">
        <v>390</v>
      </c>
      <c r="C1481" s="286">
        <v>42531.733865740738</v>
      </c>
      <c r="D1481" t="s">
        <v>382</v>
      </c>
      <c r="E1481">
        <v>0</v>
      </c>
      <c r="F1481" s="287"/>
      <c r="G1481" s="287"/>
      <c r="H1481" s="287"/>
      <c r="I1481" t="s">
        <v>382</v>
      </c>
      <c r="J1481" t="s">
        <v>42</v>
      </c>
    </row>
    <row r="1482" spans="1:10" x14ac:dyDescent="0.25">
      <c r="A1482" t="s">
        <v>390</v>
      </c>
      <c r="C1482" s="286">
        <v>42532.482511574075</v>
      </c>
      <c r="D1482" t="s">
        <v>382</v>
      </c>
      <c r="E1482">
        <v>0</v>
      </c>
      <c r="F1482" s="287"/>
      <c r="G1482" s="287"/>
      <c r="H1482" s="287"/>
      <c r="I1482" t="s">
        <v>382</v>
      </c>
      <c r="J1482" t="s">
        <v>42</v>
      </c>
    </row>
    <row r="1483" spans="1:10" x14ac:dyDescent="0.25">
      <c r="A1483" t="s">
        <v>436</v>
      </c>
      <c r="C1483" s="286">
        <v>42532.626585648148</v>
      </c>
      <c r="D1483" t="s">
        <v>382</v>
      </c>
      <c r="E1483">
        <v>0</v>
      </c>
      <c r="F1483" s="287"/>
      <c r="G1483" s="287"/>
      <c r="H1483" s="287"/>
      <c r="I1483" t="s">
        <v>382</v>
      </c>
      <c r="J1483" t="s">
        <v>42</v>
      </c>
    </row>
    <row r="1484" spans="1:10" x14ac:dyDescent="0.25">
      <c r="A1484" t="s">
        <v>390</v>
      </c>
      <c r="C1484" s="286">
        <v>42532.632511574076</v>
      </c>
      <c r="D1484" t="s">
        <v>382</v>
      </c>
      <c r="E1484">
        <v>0</v>
      </c>
      <c r="F1484" s="287"/>
      <c r="G1484" s="287"/>
      <c r="H1484" s="287"/>
      <c r="I1484" t="s">
        <v>382</v>
      </c>
      <c r="J1484" t="s">
        <v>42</v>
      </c>
    </row>
    <row r="1485" spans="1:10" x14ac:dyDescent="0.25">
      <c r="A1485" t="s">
        <v>396</v>
      </c>
      <c r="C1485" s="286">
        <v>42532.836689814816</v>
      </c>
      <c r="D1485" t="s">
        <v>382</v>
      </c>
      <c r="E1485">
        <v>0</v>
      </c>
      <c r="F1485" s="287"/>
      <c r="G1485" s="287"/>
      <c r="H1485" s="287"/>
      <c r="I1485" t="s">
        <v>382</v>
      </c>
      <c r="J1485" t="s">
        <v>42</v>
      </c>
    </row>
    <row r="1486" spans="1:10" x14ac:dyDescent="0.25">
      <c r="A1486" t="s">
        <v>390</v>
      </c>
      <c r="C1486" s="286">
        <v>42532.979398148149</v>
      </c>
      <c r="D1486" t="s">
        <v>382</v>
      </c>
      <c r="E1486">
        <v>0</v>
      </c>
      <c r="F1486" s="287"/>
      <c r="G1486" s="287"/>
      <c r="H1486" s="287"/>
      <c r="I1486" t="s">
        <v>382</v>
      </c>
      <c r="J1486" t="s">
        <v>42</v>
      </c>
    </row>
    <row r="1487" spans="1:10" x14ac:dyDescent="0.25">
      <c r="A1487" t="s">
        <v>390</v>
      </c>
      <c r="C1487" s="286">
        <v>42533.065497685187</v>
      </c>
      <c r="D1487" t="s">
        <v>382</v>
      </c>
      <c r="E1487">
        <v>0</v>
      </c>
      <c r="F1487" s="287"/>
      <c r="G1487" s="287"/>
      <c r="H1487" s="287"/>
      <c r="I1487" t="s">
        <v>382</v>
      </c>
      <c r="J1487" t="s">
        <v>42</v>
      </c>
    </row>
    <row r="1488" spans="1:10" x14ac:dyDescent="0.25">
      <c r="A1488" t="s">
        <v>390</v>
      </c>
      <c r="C1488" s="286">
        <v>42533.396319444444</v>
      </c>
      <c r="D1488" t="s">
        <v>382</v>
      </c>
      <c r="E1488">
        <v>0</v>
      </c>
      <c r="F1488" s="287"/>
      <c r="G1488" s="287"/>
      <c r="H1488" s="287"/>
      <c r="I1488" t="s">
        <v>382</v>
      </c>
      <c r="J1488" t="s">
        <v>42</v>
      </c>
    </row>
    <row r="1489" spans="1:10" x14ac:dyDescent="0.25">
      <c r="A1489" t="s">
        <v>390</v>
      </c>
      <c r="C1489" s="286">
        <v>42533.468310185184</v>
      </c>
      <c r="D1489" t="s">
        <v>382</v>
      </c>
      <c r="E1489">
        <v>0</v>
      </c>
      <c r="F1489" s="287"/>
      <c r="G1489" s="287"/>
      <c r="H1489" s="287"/>
      <c r="I1489" t="s">
        <v>382</v>
      </c>
      <c r="J1489" t="s">
        <v>42</v>
      </c>
    </row>
    <row r="1490" spans="1:10" x14ac:dyDescent="0.25">
      <c r="A1490" t="s">
        <v>390</v>
      </c>
      <c r="C1490" s="286">
        <v>42533.73300925926</v>
      </c>
      <c r="D1490" t="s">
        <v>382</v>
      </c>
      <c r="E1490">
        <v>0</v>
      </c>
      <c r="F1490" s="287"/>
      <c r="G1490" s="287"/>
      <c r="H1490" s="287"/>
      <c r="I1490" t="s">
        <v>382</v>
      </c>
      <c r="J1490" t="s">
        <v>42</v>
      </c>
    </row>
    <row r="1491" spans="1:10" x14ac:dyDescent="0.25">
      <c r="A1491" t="s">
        <v>390</v>
      </c>
      <c r="C1491" s="286">
        <v>42533.990729166668</v>
      </c>
      <c r="D1491" t="s">
        <v>382</v>
      </c>
      <c r="E1491">
        <v>0</v>
      </c>
      <c r="F1491" s="287"/>
      <c r="G1491" s="287"/>
      <c r="H1491" s="287"/>
      <c r="I1491" t="s">
        <v>382</v>
      </c>
      <c r="J1491" t="s">
        <v>42</v>
      </c>
    </row>
    <row r="1492" spans="1:10" x14ac:dyDescent="0.25">
      <c r="A1492" t="s">
        <v>390</v>
      </c>
      <c r="C1492" s="286">
        <v>42534.649224537039</v>
      </c>
      <c r="D1492" t="s">
        <v>382</v>
      </c>
      <c r="E1492">
        <v>0</v>
      </c>
      <c r="F1492" s="287"/>
      <c r="G1492" s="287"/>
      <c r="H1492" s="287"/>
      <c r="I1492" t="s">
        <v>382</v>
      </c>
      <c r="J1492" t="s">
        <v>42</v>
      </c>
    </row>
    <row r="1493" spans="1:10" x14ac:dyDescent="0.25">
      <c r="A1493" t="s">
        <v>390</v>
      </c>
      <c r="C1493" s="286">
        <v>42534.784305555557</v>
      </c>
      <c r="D1493" t="s">
        <v>382</v>
      </c>
      <c r="E1493">
        <v>0</v>
      </c>
      <c r="F1493" s="287"/>
      <c r="G1493" s="287"/>
      <c r="H1493" s="287"/>
      <c r="I1493" t="s">
        <v>382</v>
      </c>
      <c r="J1493" t="s">
        <v>42</v>
      </c>
    </row>
    <row r="1494" spans="1:10" x14ac:dyDescent="0.25">
      <c r="A1494" t="s">
        <v>390</v>
      </c>
      <c r="C1494" s="286">
        <v>42534.807523148149</v>
      </c>
      <c r="D1494" t="s">
        <v>382</v>
      </c>
      <c r="E1494">
        <v>0</v>
      </c>
      <c r="F1494" s="287"/>
      <c r="G1494" s="287"/>
      <c r="H1494" s="287"/>
      <c r="I1494" t="s">
        <v>382</v>
      </c>
      <c r="J1494" t="s">
        <v>42</v>
      </c>
    </row>
    <row r="1495" spans="1:10" x14ac:dyDescent="0.25">
      <c r="A1495" t="s">
        <v>396</v>
      </c>
      <c r="C1495" s="286">
        <v>42534.8362037037</v>
      </c>
      <c r="D1495" t="s">
        <v>382</v>
      </c>
      <c r="E1495">
        <v>0</v>
      </c>
      <c r="F1495" s="287"/>
      <c r="G1495" s="287"/>
      <c r="H1495" s="287"/>
      <c r="I1495" t="s">
        <v>382</v>
      </c>
      <c r="J1495" t="s">
        <v>42</v>
      </c>
    </row>
    <row r="1496" spans="1:10" x14ac:dyDescent="0.25">
      <c r="A1496" t="s">
        <v>390</v>
      </c>
      <c r="C1496" s="286">
        <v>42534.875150462962</v>
      </c>
      <c r="D1496" t="s">
        <v>382</v>
      </c>
      <c r="E1496">
        <v>0</v>
      </c>
      <c r="F1496" s="287"/>
      <c r="G1496" s="287"/>
      <c r="H1496" s="287"/>
      <c r="I1496" t="s">
        <v>382</v>
      </c>
      <c r="J1496" t="s">
        <v>42</v>
      </c>
    </row>
    <row r="1497" spans="1:10" x14ac:dyDescent="0.25">
      <c r="A1497" t="s">
        <v>390</v>
      </c>
      <c r="C1497" s="286">
        <v>42535.586921296293</v>
      </c>
      <c r="D1497" t="s">
        <v>382</v>
      </c>
      <c r="E1497">
        <v>0</v>
      </c>
      <c r="F1497" s="287"/>
      <c r="G1497" s="287"/>
      <c r="H1497" s="287"/>
      <c r="I1497" t="s">
        <v>382</v>
      </c>
      <c r="J1497" t="s">
        <v>42</v>
      </c>
    </row>
    <row r="1498" spans="1:10" x14ac:dyDescent="0.25">
      <c r="A1498" t="s">
        <v>390</v>
      </c>
      <c r="C1498" s="286">
        <v>42535.588726851849</v>
      </c>
      <c r="D1498" t="s">
        <v>382</v>
      </c>
      <c r="E1498">
        <v>0</v>
      </c>
      <c r="F1498" s="287"/>
      <c r="G1498" s="287"/>
      <c r="H1498" s="287"/>
      <c r="I1498" t="s">
        <v>382</v>
      </c>
      <c r="J1498" t="s">
        <v>42</v>
      </c>
    </row>
    <row r="1499" spans="1:10" x14ac:dyDescent="0.25">
      <c r="A1499" t="s">
        <v>390</v>
      </c>
      <c r="C1499" s="286">
        <v>42535.795891203707</v>
      </c>
      <c r="D1499" t="s">
        <v>382</v>
      </c>
      <c r="E1499">
        <v>0</v>
      </c>
      <c r="F1499" s="287"/>
      <c r="G1499" s="287"/>
      <c r="H1499" s="287"/>
      <c r="I1499" t="s">
        <v>382</v>
      </c>
      <c r="J1499" t="s">
        <v>42</v>
      </c>
    </row>
    <row r="1500" spans="1:10" x14ac:dyDescent="0.25">
      <c r="A1500" t="s">
        <v>390</v>
      </c>
      <c r="C1500" s="286">
        <v>42536.433958333335</v>
      </c>
      <c r="D1500" t="s">
        <v>382</v>
      </c>
      <c r="E1500">
        <v>0</v>
      </c>
      <c r="F1500" s="287"/>
      <c r="G1500" s="287"/>
      <c r="H1500" s="287"/>
      <c r="I1500" t="s">
        <v>382</v>
      </c>
      <c r="J1500" t="s">
        <v>42</v>
      </c>
    </row>
    <row r="1501" spans="1:10" x14ac:dyDescent="0.25">
      <c r="A1501" t="s">
        <v>390</v>
      </c>
      <c r="C1501" s="286">
        <v>42536.714861111112</v>
      </c>
      <c r="D1501" t="s">
        <v>382</v>
      </c>
      <c r="E1501">
        <v>0</v>
      </c>
      <c r="F1501" s="287"/>
      <c r="G1501" s="287"/>
      <c r="H1501" s="287"/>
      <c r="I1501" t="s">
        <v>382</v>
      </c>
      <c r="J1501" t="s">
        <v>42</v>
      </c>
    </row>
    <row r="1502" spans="1:10" x14ac:dyDescent="0.25">
      <c r="A1502" t="s">
        <v>390</v>
      </c>
      <c r="C1502" s="286">
        <v>42536.73636574074</v>
      </c>
      <c r="D1502" t="s">
        <v>382</v>
      </c>
      <c r="E1502">
        <v>0</v>
      </c>
      <c r="F1502" s="287"/>
      <c r="G1502" s="287"/>
      <c r="H1502" s="287"/>
      <c r="I1502" t="s">
        <v>382</v>
      </c>
      <c r="J1502" t="s">
        <v>42</v>
      </c>
    </row>
    <row r="1503" spans="1:10" x14ac:dyDescent="0.25">
      <c r="A1503" t="s">
        <v>390</v>
      </c>
      <c r="C1503" s="286">
        <v>42536.788923611108</v>
      </c>
      <c r="D1503" t="s">
        <v>382</v>
      </c>
      <c r="E1503">
        <v>0</v>
      </c>
      <c r="F1503" s="287"/>
      <c r="G1503" s="287"/>
      <c r="H1503" s="287"/>
      <c r="I1503" t="s">
        <v>382</v>
      </c>
      <c r="J1503" t="s">
        <v>42</v>
      </c>
    </row>
    <row r="1504" spans="1:10" x14ac:dyDescent="0.25">
      <c r="A1504" t="s">
        <v>390</v>
      </c>
      <c r="C1504" s="286">
        <v>42536.839305555557</v>
      </c>
      <c r="D1504" t="s">
        <v>382</v>
      </c>
      <c r="E1504">
        <v>0</v>
      </c>
      <c r="F1504" s="287"/>
      <c r="G1504" s="287"/>
      <c r="H1504" s="287"/>
      <c r="I1504" t="s">
        <v>382</v>
      </c>
      <c r="J1504" t="s">
        <v>42</v>
      </c>
    </row>
    <row r="1505" spans="1:10" x14ac:dyDescent="0.25">
      <c r="A1505" t="s">
        <v>396</v>
      </c>
      <c r="C1505" s="286">
        <v>42536.839386574073</v>
      </c>
      <c r="D1505" t="s">
        <v>382</v>
      </c>
      <c r="E1505">
        <v>0</v>
      </c>
      <c r="F1505" s="287"/>
      <c r="G1505" s="287"/>
      <c r="H1505" s="287"/>
      <c r="I1505" t="s">
        <v>382</v>
      </c>
      <c r="J1505" t="s">
        <v>42</v>
      </c>
    </row>
    <row r="1506" spans="1:10" x14ac:dyDescent="0.25">
      <c r="A1506" t="s">
        <v>390</v>
      </c>
      <c r="C1506" s="286">
        <v>42536.87327546296</v>
      </c>
      <c r="D1506" t="s">
        <v>382</v>
      </c>
      <c r="E1506">
        <v>0</v>
      </c>
      <c r="F1506" s="287"/>
      <c r="G1506" s="287"/>
      <c r="H1506" s="287"/>
      <c r="I1506" t="s">
        <v>382</v>
      </c>
      <c r="J1506" t="s">
        <v>42</v>
      </c>
    </row>
    <row r="1507" spans="1:10" x14ac:dyDescent="0.25">
      <c r="A1507" t="s">
        <v>390</v>
      </c>
      <c r="C1507" s="286">
        <v>42537.397418981483</v>
      </c>
      <c r="D1507" t="s">
        <v>382</v>
      </c>
      <c r="E1507">
        <v>0</v>
      </c>
      <c r="F1507" s="287"/>
      <c r="G1507" s="287"/>
      <c r="H1507" s="287"/>
      <c r="I1507" t="s">
        <v>382</v>
      </c>
      <c r="J1507" t="s">
        <v>42</v>
      </c>
    </row>
    <row r="1508" spans="1:10" x14ac:dyDescent="0.25">
      <c r="A1508" t="s">
        <v>390</v>
      </c>
      <c r="C1508" s="286">
        <v>42537.585555555554</v>
      </c>
      <c r="D1508" t="s">
        <v>382</v>
      </c>
      <c r="E1508">
        <v>0</v>
      </c>
      <c r="F1508" s="287"/>
      <c r="G1508" s="287"/>
      <c r="H1508" s="287"/>
      <c r="I1508" t="s">
        <v>382</v>
      </c>
      <c r="J1508" t="s">
        <v>42</v>
      </c>
    </row>
    <row r="1509" spans="1:10" x14ac:dyDescent="0.25">
      <c r="A1509" t="s">
        <v>390</v>
      </c>
      <c r="C1509" s="286">
        <v>42537.721145833333</v>
      </c>
      <c r="D1509" t="s">
        <v>382</v>
      </c>
      <c r="E1509">
        <v>0</v>
      </c>
      <c r="F1509" s="287"/>
      <c r="G1509" s="287"/>
      <c r="H1509" s="287"/>
      <c r="I1509" t="s">
        <v>382</v>
      </c>
      <c r="J1509" t="s">
        <v>42</v>
      </c>
    </row>
    <row r="1510" spans="1:10" x14ac:dyDescent="0.25">
      <c r="A1510" t="s">
        <v>390</v>
      </c>
      <c r="C1510" s="286">
        <v>42537.739479166667</v>
      </c>
      <c r="D1510" t="s">
        <v>382</v>
      </c>
      <c r="E1510">
        <v>0</v>
      </c>
      <c r="F1510" s="287"/>
      <c r="G1510" s="287"/>
      <c r="H1510" s="287"/>
      <c r="I1510" t="s">
        <v>382</v>
      </c>
      <c r="J1510" t="s">
        <v>42</v>
      </c>
    </row>
    <row r="1511" spans="1:10" x14ac:dyDescent="0.25">
      <c r="A1511" t="s">
        <v>390</v>
      </c>
      <c r="C1511" s="286">
        <v>42537.761863425927</v>
      </c>
      <c r="D1511" t="s">
        <v>382</v>
      </c>
      <c r="E1511">
        <v>0</v>
      </c>
      <c r="F1511" s="287"/>
      <c r="G1511" s="287"/>
      <c r="H1511" s="287"/>
      <c r="I1511" t="s">
        <v>382</v>
      </c>
      <c r="J1511" t="s">
        <v>42</v>
      </c>
    </row>
    <row r="1512" spans="1:10" x14ac:dyDescent="0.25">
      <c r="A1512" t="s">
        <v>390</v>
      </c>
      <c r="C1512" s="286">
        <v>42537.782442129632</v>
      </c>
      <c r="D1512" t="s">
        <v>382</v>
      </c>
      <c r="E1512">
        <v>0</v>
      </c>
      <c r="F1512" s="287"/>
      <c r="G1512" s="287"/>
      <c r="H1512" s="287"/>
      <c r="I1512" t="s">
        <v>382</v>
      </c>
      <c r="J1512" t="s">
        <v>42</v>
      </c>
    </row>
    <row r="1513" spans="1:10" x14ac:dyDescent="0.25">
      <c r="A1513" t="s">
        <v>390</v>
      </c>
      <c r="C1513" s="286">
        <v>42537.872766203705</v>
      </c>
      <c r="D1513" t="s">
        <v>382</v>
      </c>
      <c r="E1513">
        <v>0</v>
      </c>
      <c r="F1513" s="287"/>
      <c r="G1513" s="287"/>
      <c r="H1513" s="287"/>
      <c r="I1513" t="s">
        <v>382</v>
      </c>
      <c r="J1513" t="s">
        <v>42</v>
      </c>
    </row>
    <row r="1514" spans="1:10" x14ac:dyDescent="0.25">
      <c r="A1514" t="s">
        <v>390</v>
      </c>
      <c r="C1514" s="286">
        <v>42537.895046296297</v>
      </c>
      <c r="D1514" t="s">
        <v>382</v>
      </c>
      <c r="E1514">
        <v>0</v>
      </c>
      <c r="F1514" s="287"/>
      <c r="G1514" s="287"/>
      <c r="H1514" s="287"/>
      <c r="I1514" t="s">
        <v>382</v>
      </c>
      <c r="J1514" t="s">
        <v>42</v>
      </c>
    </row>
    <row r="1515" spans="1:10" x14ac:dyDescent="0.25">
      <c r="A1515" t="s">
        <v>390</v>
      </c>
      <c r="C1515" s="286">
        <v>42538.587291666663</v>
      </c>
      <c r="D1515" t="s">
        <v>382</v>
      </c>
      <c r="E1515">
        <v>0</v>
      </c>
      <c r="F1515" s="287"/>
      <c r="G1515" s="287"/>
      <c r="H1515" s="287"/>
      <c r="I1515" t="s">
        <v>382</v>
      </c>
      <c r="J1515" t="s">
        <v>42</v>
      </c>
    </row>
    <row r="1516" spans="1:10" x14ac:dyDescent="0.25">
      <c r="A1516" t="s">
        <v>401</v>
      </c>
      <c r="C1516" s="286">
        <v>42538.605949074074</v>
      </c>
      <c r="D1516" t="s">
        <v>382</v>
      </c>
      <c r="E1516">
        <v>0</v>
      </c>
      <c r="F1516" s="287"/>
      <c r="G1516" s="287"/>
      <c r="H1516" s="287"/>
      <c r="I1516" t="s">
        <v>382</v>
      </c>
      <c r="J1516" t="s">
        <v>42</v>
      </c>
    </row>
    <row r="1517" spans="1:10" x14ac:dyDescent="0.25">
      <c r="A1517" t="s">
        <v>390</v>
      </c>
      <c r="C1517" s="286">
        <v>42538.650879629633</v>
      </c>
      <c r="D1517" t="s">
        <v>382</v>
      </c>
      <c r="E1517">
        <v>0</v>
      </c>
      <c r="F1517" s="287"/>
      <c r="G1517" s="287"/>
      <c r="H1517" s="287"/>
      <c r="I1517" t="s">
        <v>382</v>
      </c>
      <c r="J1517" t="s">
        <v>42</v>
      </c>
    </row>
    <row r="1518" spans="1:10" x14ac:dyDescent="0.25">
      <c r="A1518" t="s">
        <v>396</v>
      </c>
      <c r="C1518" s="286">
        <v>42538.800625000003</v>
      </c>
      <c r="D1518" t="s">
        <v>382</v>
      </c>
      <c r="E1518">
        <v>0</v>
      </c>
      <c r="F1518" s="287"/>
      <c r="G1518" s="287"/>
      <c r="H1518" s="287"/>
      <c r="I1518" t="s">
        <v>382</v>
      </c>
      <c r="J1518" t="s">
        <v>42</v>
      </c>
    </row>
    <row r="1519" spans="1:10" x14ac:dyDescent="0.25">
      <c r="A1519" t="s">
        <v>390</v>
      </c>
      <c r="C1519" s="286">
        <v>42538.901400462964</v>
      </c>
      <c r="D1519" t="s">
        <v>382</v>
      </c>
      <c r="E1519">
        <v>0</v>
      </c>
      <c r="F1519" s="287"/>
      <c r="G1519" s="287"/>
      <c r="H1519" s="287"/>
      <c r="I1519" t="s">
        <v>382</v>
      </c>
      <c r="J1519" t="s">
        <v>42</v>
      </c>
    </row>
    <row r="1520" spans="1:10" x14ac:dyDescent="0.25">
      <c r="A1520" t="s">
        <v>390</v>
      </c>
      <c r="C1520" s="286">
        <v>42538.92391203704</v>
      </c>
      <c r="D1520" t="s">
        <v>382</v>
      </c>
      <c r="E1520">
        <v>0</v>
      </c>
      <c r="F1520" s="287"/>
      <c r="G1520" s="287"/>
      <c r="H1520" s="287"/>
      <c r="I1520" t="s">
        <v>382</v>
      </c>
      <c r="J1520" t="s">
        <v>42</v>
      </c>
    </row>
    <row r="1521" spans="1:10" x14ac:dyDescent="0.25">
      <c r="A1521" t="s">
        <v>390</v>
      </c>
      <c r="C1521" s="286">
        <v>42538.946226851855</v>
      </c>
      <c r="D1521" t="s">
        <v>382</v>
      </c>
      <c r="E1521">
        <v>0</v>
      </c>
      <c r="F1521" s="287"/>
      <c r="G1521" s="287"/>
      <c r="H1521" s="287"/>
      <c r="I1521" t="s">
        <v>382</v>
      </c>
      <c r="J1521" t="s">
        <v>42</v>
      </c>
    </row>
    <row r="1522" spans="1:10" x14ac:dyDescent="0.25">
      <c r="A1522" t="s">
        <v>390</v>
      </c>
      <c r="C1522" s="286">
        <v>42538.962789351855</v>
      </c>
      <c r="D1522" t="s">
        <v>382</v>
      </c>
      <c r="E1522">
        <v>0</v>
      </c>
      <c r="F1522" s="287"/>
      <c r="G1522" s="287"/>
      <c r="H1522" s="287"/>
      <c r="I1522" t="s">
        <v>382</v>
      </c>
      <c r="J1522" t="s">
        <v>42</v>
      </c>
    </row>
    <row r="1523" spans="1:10" x14ac:dyDescent="0.25">
      <c r="A1523" t="s">
        <v>437</v>
      </c>
      <c r="C1523" s="286">
        <v>42539.626481481479</v>
      </c>
      <c r="D1523" t="s">
        <v>382</v>
      </c>
      <c r="E1523">
        <v>0</v>
      </c>
      <c r="F1523" s="287"/>
      <c r="G1523" s="287"/>
      <c r="H1523" s="287"/>
      <c r="I1523" t="s">
        <v>382</v>
      </c>
      <c r="J1523" t="s">
        <v>42</v>
      </c>
    </row>
    <row r="1524" spans="1:10" x14ac:dyDescent="0.25">
      <c r="A1524" t="s">
        <v>390</v>
      </c>
      <c r="C1524" s="286">
        <v>42539.637824074074</v>
      </c>
      <c r="D1524" t="s">
        <v>382</v>
      </c>
      <c r="E1524">
        <v>0</v>
      </c>
      <c r="F1524" s="287"/>
      <c r="G1524" s="287"/>
      <c r="H1524" s="287"/>
      <c r="I1524" t="s">
        <v>382</v>
      </c>
      <c r="J1524" t="s">
        <v>42</v>
      </c>
    </row>
    <row r="1525" spans="1:10" x14ac:dyDescent="0.25">
      <c r="A1525" t="s">
        <v>390</v>
      </c>
      <c r="C1525" s="286">
        <v>42540.012499999997</v>
      </c>
      <c r="D1525" t="s">
        <v>382</v>
      </c>
      <c r="E1525">
        <v>0</v>
      </c>
      <c r="F1525" s="287"/>
      <c r="G1525" s="287"/>
      <c r="H1525" s="287"/>
      <c r="I1525" t="s">
        <v>382</v>
      </c>
      <c r="J1525" t="s">
        <v>42</v>
      </c>
    </row>
    <row r="1526" spans="1:10" x14ac:dyDescent="0.25">
      <c r="A1526" t="s">
        <v>390</v>
      </c>
      <c r="C1526" s="286">
        <v>42540.064560185187</v>
      </c>
      <c r="D1526" t="s">
        <v>382</v>
      </c>
      <c r="E1526">
        <v>0</v>
      </c>
      <c r="F1526" s="287"/>
      <c r="G1526" s="287"/>
      <c r="H1526" s="287"/>
      <c r="I1526" t="s">
        <v>382</v>
      </c>
      <c r="J1526" t="s">
        <v>42</v>
      </c>
    </row>
    <row r="1527" spans="1:10" x14ac:dyDescent="0.25">
      <c r="A1527" t="s">
        <v>390</v>
      </c>
      <c r="C1527" s="286">
        <v>42540.2503125</v>
      </c>
      <c r="D1527" t="s">
        <v>382</v>
      </c>
      <c r="E1527">
        <v>0</v>
      </c>
      <c r="F1527" s="287"/>
      <c r="G1527" s="287"/>
      <c r="H1527" s="287"/>
      <c r="I1527" t="s">
        <v>382</v>
      </c>
      <c r="J1527" t="s">
        <v>42</v>
      </c>
    </row>
    <row r="1528" spans="1:10" x14ac:dyDescent="0.25">
      <c r="A1528" t="s">
        <v>390</v>
      </c>
      <c r="C1528" s="286">
        <v>42540.629189814812</v>
      </c>
      <c r="D1528" t="s">
        <v>382</v>
      </c>
      <c r="E1528">
        <v>0</v>
      </c>
      <c r="F1528" s="287"/>
      <c r="G1528" s="287"/>
      <c r="H1528" s="287"/>
      <c r="I1528" t="s">
        <v>382</v>
      </c>
      <c r="J1528" t="s">
        <v>42</v>
      </c>
    </row>
    <row r="1529" spans="1:10" x14ac:dyDescent="0.25">
      <c r="A1529" t="s">
        <v>390</v>
      </c>
      <c r="C1529" s="286">
        <v>42540.717916666668</v>
      </c>
      <c r="D1529" t="s">
        <v>382</v>
      </c>
      <c r="E1529">
        <v>0</v>
      </c>
      <c r="F1529" s="287"/>
      <c r="G1529" s="287"/>
      <c r="H1529" s="287"/>
      <c r="I1529" t="s">
        <v>382</v>
      </c>
      <c r="J1529" t="s">
        <v>42</v>
      </c>
    </row>
    <row r="1530" spans="1:10" x14ac:dyDescent="0.25">
      <c r="A1530" t="s">
        <v>396</v>
      </c>
      <c r="C1530" s="286">
        <v>42540.820185185185</v>
      </c>
      <c r="D1530" t="s">
        <v>382</v>
      </c>
      <c r="E1530">
        <v>0</v>
      </c>
      <c r="F1530" s="287"/>
      <c r="G1530" s="287"/>
      <c r="H1530" s="287"/>
      <c r="I1530" t="s">
        <v>382</v>
      </c>
      <c r="J1530" t="s">
        <v>42</v>
      </c>
    </row>
    <row r="1531" spans="1:10" x14ac:dyDescent="0.25">
      <c r="A1531" t="s">
        <v>390</v>
      </c>
      <c r="C1531" s="286">
        <v>42540.87568287037</v>
      </c>
      <c r="D1531" t="s">
        <v>382</v>
      </c>
      <c r="E1531">
        <v>0</v>
      </c>
      <c r="F1531" s="287"/>
      <c r="G1531" s="287"/>
      <c r="H1531" s="287"/>
      <c r="I1531" t="s">
        <v>382</v>
      </c>
      <c r="J1531" t="s">
        <v>42</v>
      </c>
    </row>
    <row r="1532" spans="1:10" x14ac:dyDescent="0.25">
      <c r="A1532" t="s">
        <v>390</v>
      </c>
      <c r="C1532" s="286">
        <v>42540.875706018516</v>
      </c>
      <c r="D1532" t="s">
        <v>382</v>
      </c>
      <c r="E1532">
        <v>0</v>
      </c>
      <c r="F1532" s="287"/>
      <c r="G1532" s="287"/>
      <c r="H1532" s="287"/>
      <c r="I1532" t="s">
        <v>382</v>
      </c>
      <c r="J1532" t="s">
        <v>42</v>
      </c>
    </row>
    <row r="1533" spans="1:10" x14ac:dyDescent="0.25">
      <c r="A1533" t="s">
        <v>390</v>
      </c>
      <c r="C1533" s="286">
        <v>42541.673182870371</v>
      </c>
      <c r="D1533" t="s">
        <v>382</v>
      </c>
      <c r="E1533">
        <v>0</v>
      </c>
      <c r="F1533" s="287"/>
      <c r="G1533" s="287"/>
      <c r="H1533" s="287"/>
      <c r="I1533" t="s">
        <v>382</v>
      </c>
      <c r="J1533" t="s">
        <v>42</v>
      </c>
    </row>
    <row r="1534" spans="1:10" x14ac:dyDescent="0.25">
      <c r="A1534" t="s">
        <v>390</v>
      </c>
      <c r="C1534" s="286">
        <v>42541.771412037036</v>
      </c>
      <c r="D1534" t="s">
        <v>382</v>
      </c>
      <c r="E1534">
        <v>0</v>
      </c>
      <c r="F1534" s="287"/>
      <c r="G1534" s="287"/>
      <c r="H1534" s="287"/>
      <c r="I1534" t="s">
        <v>382</v>
      </c>
      <c r="J1534" t="s">
        <v>42</v>
      </c>
    </row>
    <row r="1535" spans="1:10" x14ac:dyDescent="0.25">
      <c r="A1535" t="s">
        <v>390</v>
      </c>
      <c r="C1535" s="286">
        <v>42541.875787037039</v>
      </c>
      <c r="D1535" t="s">
        <v>382</v>
      </c>
      <c r="E1535">
        <v>0</v>
      </c>
      <c r="F1535" s="287"/>
      <c r="G1535" s="287"/>
      <c r="H1535" s="287"/>
      <c r="I1535" t="s">
        <v>382</v>
      </c>
      <c r="J1535" t="s">
        <v>42</v>
      </c>
    </row>
    <row r="1536" spans="1:10" x14ac:dyDescent="0.25">
      <c r="A1536" t="s">
        <v>390</v>
      </c>
      <c r="C1536" s="286">
        <v>42541.966469907406</v>
      </c>
      <c r="D1536" t="s">
        <v>382</v>
      </c>
      <c r="E1536">
        <v>0</v>
      </c>
      <c r="F1536" s="287"/>
      <c r="G1536" s="287"/>
      <c r="H1536" s="287"/>
      <c r="I1536" t="s">
        <v>382</v>
      </c>
      <c r="J1536" t="s">
        <v>42</v>
      </c>
    </row>
    <row r="1537" spans="1:10" x14ac:dyDescent="0.25">
      <c r="A1537" t="s">
        <v>390</v>
      </c>
      <c r="C1537" s="286">
        <v>42542.449074074073</v>
      </c>
      <c r="D1537" t="s">
        <v>382</v>
      </c>
      <c r="E1537">
        <v>0</v>
      </c>
      <c r="F1537" s="287"/>
      <c r="G1537" s="287"/>
      <c r="H1537" s="287"/>
      <c r="I1537" t="s">
        <v>382</v>
      </c>
      <c r="J1537" t="s">
        <v>42</v>
      </c>
    </row>
    <row r="1538" spans="1:10" x14ac:dyDescent="0.25">
      <c r="A1538" t="s">
        <v>390</v>
      </c>
      <c r="C1538" s="286">
        <v>42542.586944444447</v>
      </c>
      <c r="D1538" t="s">
        <v>382</v>
      </c>
      <c r="E1538">
        <v>0</v>
      </c>
      <c r="F1538" s="287"/>
      <c r="G1538" s="287"/>
      <c r="H1538" s="287"/>
      <c r="I1538" t="s">
        <v>382</v>
      </c>
      <c r="J1538" t="s">
        <v>42</v>
      </c>
    </row>
    <row r="1539" spans="1:10" x14ac:dyDescent="0.25">
      <c r="A1539" t="s">
        <v>390</v>
      </c>
      <c r="C1539" s="286">
        <v>42542.657199074078</v>
      </c>
      <c r="D1539" t="s">
        <v>382</v>
      </c>
      <c r="E1539">
        <v>0</v>
      </c>
      <c r="F1539" s="287"/>
      <c r="G1539" s="287"/>
      <c r="H1539" s="287"/>
      <c r="I1539" t="s">
        <v>382</v>
      </c>
      <c r="J1539" t="s">
        <v>42</v>
      </c>
    </row>
    <row r="1540" spans="1:10" x14ac:dyDescent="0.25">
      <c r="A1540" t="s">
        <v>390</v>
      </c>
      <c r="C1540" s="286">
        <v>42542.750405092593</v>
      </c>
      <c r="D1540" t="s">
        <v>382</v>
      </c>
      <c r="E1540">
        <v>0</v>
      </c>
      <c r="F1540" s="287"/>
      <c r="G1540" s="287"/>
      <c r="H1540" s="287"/>
      <c r="I1540" t="s">
        <v>382</v>
      </c>
      <c r="J1540" t="s">
        <v>42</v>
      </c>
    </row>
    <row r="1541" spans="1:10" x14ac:dyDescent="0.25">
      <c r="A1541" t="s">
        <v>396</v>
      </c>
      <c r="C1541" s="286">
        <v>42542.803946759261</v>
      </c>
      <c r="D1541" t="s">
        <v>382</v>
      </c>
      <c r="E1541">
        <v>0</v>
      </c>
      <c r="F1541" s="287"/>
      <c r="G1541" s="287"/>
      <c r="H1541" s="287"/>
      <c r="I1541" t="s">
        <v>382</v>
      </c>
      <c r="J1541" t="s">
        <v>42</v>
      </c>
    </row>
    <row r="1542" spans="1:10" x14ac:dyDescent="0.25">
      <c r="A1542" t="s">
        <v>390</v>
      </c>
      <c r="C1542" s="286">
        <v>42542.835127314815</v>
      </c>
      <c r="D1542" t="s">
        <v>382</v>
      </c>
      <c r="E1542">
        <v>0</v>
      </c>
      <c r="F1542" s="287"/>
      <c r="G1542" s="287"/>
      <c r="H1542" s="287"/>
      <c r="I1542" t="s">
        <v>382</v>
      </c>
      <c r="J1542" t="s">
        <v>42</v>
      </c>
    </row>
    <row r="1543" spans="1:10" x14ac:dyDescent="0.25">
      <c r="A1543" t="s">
        <v>390</v>
      </c>
      <c r="C1543" s="286">
        <v>42542.835138888891</v>
      </c>
      <c r="D1543" t="s">
        <v>382</v>
      </c>
      <c r="E1543">
        <v>0</v>
      </c>
      <c r="F1543" s="287"/>
      <c r="G1543" s="287"/>
      <c r="H1543" s="287"/>
      <c r="I1543" t="s">
        <v>382</v>
      </c>
      <c r="J1543" t="s">
        <v>42</v>
      </c>
    </row>
    <row r="1544" spans="1:10" x14ac:dyDescent="0.25">
      <c r="A1544" t="s">
        <v>390</v>
      </c>
      <c r="C1544" s="286">
        <v>42542.859305555554</v>
      </c>
      <c r="D1544" t="s">
        <v>382</v>
      </c>
      <c r="E1544">
        <v>0</v>
      </c>
      <c r="F1544" s="287"/>
      <c r="G1544" s="287"/>
      <c r="H1544" s="287"/>
      <c r="I1544" t="s">
        <v>382</v>
      </c>
      <c r="J1544" t="s">
        <v>42</v>
      </c>
    </row>
    <row r="1545" spans="1:10" x14ac:dyDescent="0.25">
      <c r="A1545" t="s">
        <v>390</v>
      </c>
      <c r="C1545" s="286">
        <v>42542.882615740738</v>
      </c>
      <c r="D1545" t="s">
        <v>382</v>
      </c>
      <c r="E1545">
        <v>0</v>
      </c>
      <c r="F1545" s="287"/>
      <c r="G1545" s="287"/>
      <c r="H1545" s="287"/>
      <c r="I1545" t="s">
        <v>382</v>
      </c>
      <c r="J1545" t="s">
        <v>42</v>
      </c>
    </row>
    <row r="1546" spans="1:10" x14ac:dyDescent="0.25">
      <c r="A1546" t="s">
        <v>390</v>
      </c>
      <c r="C1546" s="286">
        <v>42543.007835648146</v>
      </c>
      <c r="D1546" t="s">
        <v>382</v>
      </c>
      <c r="E1546">
        <v>0</v>
      </c>
      <c r="F1546" s="287"/>
      <c r="G1546" s="287"/>
      <c r="H1546" s="287"/>
      <c r="I1546" t="s">
        <v>382</v>
      </c>
      <c r="J1546" t="s">
        <v>42</v>
      </c>
    </row>
    <row r="1547" spans="1:10" x14ac:dyDescent="0.25">
      <c r="A1547" t="s">
        <v>390</v>
      </c>
      <c r="C1547" s="286">
        <v>42543.049317129633</v>
      </c>
      <c r="D1547" t="s">
        <v>382</v>
      </c>
      <c r="E1547">
        <v>0</v>
      </c>
      <c r="F1547" s="287"/>
      <c r="G1547" s="287"/>
      <c r="H1547" s="287"/>
      <c r="I1547" t="s">
        <v>382</v>
      </c>
      <c r="J1547" t="s">
        <v>42</v>
      </c>
    </row>
    <row r="1548" spans="1:10" x14ac:dyDescent="0.25">
      <c r="A1548" t="s">
        <v>390</v>
      </c>
      <c r="C1548" s="286">
        <v>42543.606979166667</v>
      </c>
      <c r="D1548" t="s">
        <v>382</v>
      </c>
      <c r="E1548">
        <v>0</v>
      </c>
      <c r="F1548" s="287"/>
      <c r="G1548" s="287"/>
      <c r="H1548" s="287"/>
      <c r="I1548" t="s">
        <v>382</v>
      </c>
      <c r="J1548" t="s">
        <v>42</v>
      </c>
    </row>
    <row r="1549" spans="1:10" x14ac:dyDescent="0.25">
      <c r="A1549" t="s">
        <v>390</v>
      </c>
      <c r="C1549" s="286">
        <v>42543.711851851855</v>
      </c>
      <c r="D1549" t="s">
        <v>382</v>
      </c>
      <c r="E1549">
        <v>0</v>
      </c>
      <c r="F1549" s="287"/>
      <c r="G1549" s="287"/>
      <c r="H1549" s="287"/>
      <c r="I1549" t="s">
        <v>382</v>
      </c>
      <c r="J1549" t="s">
        <v>42</v>
      </c>
    </row>
    <row r="1550" spans="1:10" x14ac:dyDescent="0.25">
      <c r="A1550" t="s">
        <v>390</v>
      </c>
      <c r="C1550" s="286">
        <v>42543.806759259256</v>
      </c>
      <c r="D1550" t="s">
        <v>382</v>
      </c>
      <c r="E1550">
        <v>0</v>
      </c>
      <c r="F1550" s="287"/>
      <c r="G1550" s="287"/>
      <c r="H1550" s="287"/>
      <c r="I1550" t="s">
        <v>382</v>
      </c>
      <c r="J1550" t="s">
        <v>42</v>
      </c>
    </row>
    <row r="1551" spans="1:10" x14ac:dyDescent="0.25">
      <c r="A1551" t="s">
        <v>390</v>
      </c>
      <c r="C1551" s="286">
        <v>42543.960914351854</v>
      </c>
      <c r="D1551" t="s">
        <v>382</v>
      </c>
      <c r="E1551">
        <v>0</v>
      </c>
      <c r="F1551" s="287"/>
      <c r="G1551" s="287"/>
      <c r="H1551" s="287"/>
      <c r="I1551" t="s">
        <v>382</v>
      </c>
      <c r="J1551" t="s">
        <v>42</v>
      </c>
    </row>
    <row r="1552" spans="1:10" x14ac:dyDescent="0.25">
      <c r="A1552" t="s">
        <v>390</v>
      </c>
      <c r="C1552" s="286">
        <v>42543.973576388889</v>
      </c>
      <c r="D1552" t="s">
        <v>382</v>
      </c>
      <c r="E1552">
        <v>0</v>
      </c>
      <c r="F1552" s="287"/>
      <c r="G1552" s="287"/>
      <c r="H1552" s="287"/>
      <c r="I1552" t="s">
        <v>382</v>
      </c>
      <c r="J1552" t="s">
        <v>42</v>
      </c>
    </row>
    <row r="1553" spans="1:10" x14ac:dyDescent="0.25">
      <c r="A1553" t="s">
        <v>390</v>
      </c>
      <c r="C1553" s="286">
        <v>42543.997858796298</v>
      </c>
      <c r="D1553" t="s">
        <v>382</v>
      </c>
      <c r="E1553">
        <v>0</v>
      </c>
      <c r="F1553" s="287"/>
      <c r="G1553" s="287"/>
      <c r="H1553" s="287"/>
      <c r="I1553" t="s">
        <v>382</v>
      </c>
      <c r="J1553" t="s">
        <v>42</v>
      </c>
    </row>
    <row r="1554" spans="1:10" x14ac:dyDescent="0.25">
      <c r="A1554" t="s">
        <v>390</v>
      </c>
      <c r="C1554" s="286">
        <v>42544.015787037039</v>
      </c>
      <c r="D1554" t="s">
        <v>382</v>
      </c>
      <c r="E1554">
        <v>0</v>
      </c>
      <c r="F1554" s="287"/>
      <c r="G1554" s="287"/>
      <c r="H1554" s="287"/>
      <c r="I1554" t="s">
        <v>382</v>
      </c>
      <c r="J1554" t="s">
        <v>42</v>
      </c>
    </row>
    <row r="1555" spans="1:10" x14ac:dyDescent="0.25">
      <c r="A1555" t="s">
        <v>390</v>
      </c>
      <c r="C1555" s="286">
        <v>42544.023564814815</v>
      </c>
      <c r="D1555" t="s">
        <v>382</v>
      </c>
      <c r="E1555">
        <v>0</v>
      </c>
      <c r="F1555" s="287"/>
      <c r="G1555" s="287"/>
      <c r="H1555" s="287"/>
      <c r="I1555" t="s">
        <v>382</v>
      </c>
      <c r="J1555" t="s">
        <v>42</v>
      </c>
    </row>
    <row r="1556" spans="1:10" x14ac:dyDescent="0.25">
      <c r="A1556" t="s">
        <v>390</v>
      </c>
      <c r="C1556" s="286">
        <v>42544.051736111112</v>
      </c>
      <c r="D1556" t="s">
        <v>382</v>
      </c>
      <c r="E1556">
        <v>0</v>
      </c>
      <c r="F1556" s="287"/>
      <c r="G1556" s="287"/>
      <c r="H1556" s="287"/>
      <c r="I1556" t="s">
        <v>382</v>
      </c>
      <c r="J1556" t="s">
        <v>42</v>
      </c>
    </row>
    <row r="1557" spans="1:10" x14ac:dyDescent="0.25">
      <c r="A1557" t="s">
        <v>390</v>
      </c>
      <c r="C1557" s="286">
        <v>42544.637673611112</v>
      </c>
      <c r="D1557" t="s">
        <v>382</v>
      </c>
      <c r="E1557">
        <v>0</v>
      </c>
      <c r="F1557" s="287"/>
      <c r="G1557" s="287"/>
      <c r="H1557" s="287"/>
      <c r="I1557" t="s">
        <v>382</v>
      </c>
      <c r="J1557" t="s">
        <v>42</v>
      </c>
    </row>
    <row r="1558" spans="1:10" x14ac:dyDescent="0.25">
      <c r="A1558" t="s">
        <v>390</v>
      </c>
      <c r="C1558" s="286">
        <v>42544.641770833332</v>
      </c>
      <c r="D1558" t="s">
        <v>382</v>
      </c>
      <c r="E1558">
        <v>0</v>
      </c>
      <c r="F1558" s="287"/>
      <c r="G1558" s="287"/>
      <c r="H1558" s="287"/>
      <c r="I1558" t="s">
        <v>382</v>
      </c>
      <c r="J1558" t="s">
        <v>42</v>
      </c>
    </row>
    <row r="1559" spans="1:10" x14ac:dyDescent="0.25">
      <c r="A1559" t="s">
        <v>390</v>
      </c>
      <c r="C1559" s="286">
        <v>42544.771087962959</v>
      </c>
      <c r="D1559" t="s">
        <v>382</v>
      </c>
      <c r="E1559">
        <v>0</v>
      </c>
      <c r="F1559" s="287"/>
      <c r="G1559" s="287"/>
      <c r="H1559" s="287"/>
      <c r="I1559" t="s">
        <v>382</v>
      </c>
      <c r="J1559" t="s">
        <v>42</v>
      </c>
    </row>
    <row r="1560" spans="1:10" x14ac:dyDescent="0.25">
      <c r="A1560" t="s">
        <v>390</v>
      </c>
      <c r="C1560" s="286">
        <v>42544.787534722222</v>
      </c>
      <c r="D1560" t="s">
        <v>382</v>
      </c>
      <c r="E1560">
        <v>0</v>
      </c>
      <c r="F1560" s="287"/>
      <c r="G1560" s="287"/>
      <c r="H1560" s="287"/>
      <c r="I1560" t="s">
        <v>382</v>
      </c>
      <c r="J1560" t="s">
        <v>42</v>
      </c>
    </row>
    <row r="1561" spans="1:10" x14ac:dyDescent="0.25">
      <c r="A1561" t="s">
        <v>390</v>
      </c>
      <c r="C1561" s="286">
        <v>42544.791030092594</v>
      </c>
      <c r="D1561" t="s">
        <v>382</v>
      </c>
      <c r="E1561">
        <v>0</v>
      </c>
      <c r="F1561" s="287"/>
      <c r="G1561" s="287"/>
      <c r="H1561" s="287"/>
      <c r="I1561" t="s">
        <v>382</v>
      </c>
      <c r="J1561" t="s">
        <v>42</v>
      </c>
    </row>
    <row r="1562" spans="1:10" x14ac:dyDescent="0.25">
      <c r="A1562" t="s">
        <v>390</v>
      </c>
      <c r="C1562" s="286">
        <v>42544.81082175926</v>
      </c>
      <c r="D1562" t="s">
        <v>382</v>
      </c>
      <c r="E1562">
        <v>0</v>
      </c>
      <c r="F1562" s="287"/>
      <c r="G1562" s="287"/>
      <c r="H1562" s="287"/>
      <c r="I1562" t="s">
        <v>382</v>
      </c>
      <c r="J1562" t="s">
        <v>42</v>
      </c>
    </row>
    <row r="1563" spans="1:10" x14ac:dyDescent="0.25">
      <c r="A1563" t="s">
        <v>390</v>
      </c>
      <c r="C1563" s="286">
        <v>42544.815555555557</v>
      </c>
      <c r="D1563" t="s">
        <v>382</v>
      </c>
      <c r="E1563">
        <v>0</v>
      </c>
      <c r="F1563" s="287"/>
      <c r="G1563" s="287"/>
      <c r="H1563" s="287"/>
      <c r="I1563" t="s">
        <v>382</v>
      </c>
      <c r="J1563" t="s">
        <v>42</v>
      </c>
    </row>
    <row r="1564" spans="1:10" x14ac:dyDescent="0.25">
      <c r="A1564" t="s">
        <v>396</v>
      </c>
      <c r="C1564" s="286">
        <v>42544.825671296298</v>
      </c>
      <c r="D1564" t="s">
        <v>382</v>
      </c>
      <c r="E1564">
        <v>0</v>
      </c>
      <c r="F1564" s="287"/>
      <c r="G1564" s="287"/>
      <c r="H1564" s="287"/>
      <c r="I1564" t="s">
        <v>382</v>
      </c>
      <c r="J1564" t="s">
        <v>42</v>
      </c>
    </row>
    <row r="1565" spans="1:10" x14ac:dyDescent="0.25">
      <c r="A1565" t="s">
        <v>390</v>
      </c>
      <c r="C1565" s="286">
        <v>42544.87641203704</v>
      </c>
      <c r="D1565" t="s">
        <v>382</v>
      </c>
      <c r="E1565">
        <v>0</v>
      </c>
      <c r="F1565" s="287"/>
      <c r="G1565" s="287"/>
      <c r="H1565" s="287"/>
      <c r="I1565" t="s">
        <v>382</v>
      </c>
      <c r="J1565" t="s">
        <v>42</v>
      </c>
    </row>
    <row r="1566" spans="1:10" x14ac:dyDescent="0.25">
      <c r="A1566" t="s">
        <v>390</v>
      </c>
      <c r="C1566" s="286">
        <v>42544.96020833333</v>
      </c>
      <c r="D1566" t="s">
        <v>382</v>
      </c>
      <c r="E1566">
        <v>0</v>
      </c>
      <c r="F1566" s="287"/>
      <c r="G1566" s="287"/>
      <c r="H1566" s="287"/>
      <c r="I1566" t="s">
        <v>382</v>
      </c>
      <c r="J1566" t="s">
        <v>42</v>
      </c>
    </row>
    <row r="1567" spans="1:10" x14ac:dyDescent="0.25">
      <c r="A1567" t="s">
        <v>390</v>
      </c>
      <c r="C1567" s="286">
        <v>42545.583935185183</v>
      </c>
      <c r="D1567" t="s">
        <v>382</v>
      </c>
      <c r="E1567">
        <v>0</v>
      </c>
      <c r="F1567" s="287"/>
      <c r="G1567" s="287"/>
      <c r="H1567" s="287"/>
      <c r="I1567" t="s">
        <v>382</v>
      </c>
      <c r="J1567" t="s">
        <v>42</v>
      </c>
    </row>
    <row r="1568" spans="1:10" x14ac:dyDescent="0.25">
      <c r="A1568" t="s">
        <v>390</v>
      </c>
      <c r="C1568" s="286">
        <v>42545.691446759258</v>
      </c>
      <c r="D1568" t="s">
        <v>382</v>
      </c>
      <c r="E1568">
        <v>0</v>
      </c>
      <c r="F1568" s="287"/>
      <c r="G1568" s="287"/>
      <c r="H1568" s="287"/>
      <c r="I1568" t="s">
        <v>382</v>
      </c>
      <c r="J1568" t="s">
        <v>42</v>
      </c>
    </row>
    <row r="1569" spans="1:10" x14ac:dyDescent="0.25">
      <c r="A1569" t="s">
        <v>390</v>
      </c>
      <c r="C1569" s="286">
        <v>42546.03769675926</v>
      </c>
      <c r="D1569" t="s">
        <v>382</v>
      </c>
      <c r="E1569">
        <v>0</v>
      </c>
      <c r="F1569" s="287"/>
      <c r="G1569" s="287"/>
      <c r="H1569" s="287"/>
      <c r="I1569" t="s">
        <v>382</v>
      </c>
      <c r="J1569" t="s">
        <v>42</v>
      </c>
    </row>
    <row r="1570" spans="1:10" x14ac:dyDescent="0.25">
      <c r="A1570" t="s">
        <v>438</v>
      </c>
      <c r="C1570" s="286">
        <v>42546.626180555555</v>
      </c>
      <c r="D1570" t="s">
        <v>382</v>
      </c>
      <c r="E1570">
        <v>0</v>
      </c>
      <c r="F1570" s="287"/>
      <c r="G1570" s="287"/>
      <c r="H1570" s="287"/>
      <c r="I1570" t="s">
        <v>382</v>
      </c>
      <c r="J1570" t="s">
        <v>42</v>
      </c>
    </row>
    <row r="1571" spans="1:10" x14ac:dyDescent="0.25">
      <c r="A1571" t="s">
        <v>390</v>
      </c>
      <c r="C1571" s="286">
        <v>42546.711018518516</v>
      </c>
      <c r="D1571" t="s">
        <v>382</v>
      </c>
      <c r="E1571">
        <v>0</v>
      </c>
      <c r="F1571" s="287"/>
      <c r="G1571" s="287"/>
      <c r="H1571" s="287"/>
      <c r="I1571" t="s">
        <v>382</v>
      </c>
      <c r="J1571" t="s">
        <v>42</v>
      </c>
    </row>
    <row r="1572" spans="1:10" x14ac:dyDescent="0.25">
      <c r="A1572" t="s">
        <v>390</v>
      </c>
      <c r="C1572" s="286">
        <v>42546.711030092592</v>
      </c>
      <c r="D1572" t="s">
        <v>382</v>
      </c>
      <c r="E1572">
        <v>0</v>
      </c>
      <c r="F1572" s="287"/>
      <c r="G1572" s="287"/>
      <c r="H1572" s="287"/>
      <c r="I1572" t="s">
        <v>382</v>
      </c>
      <c r="J1572" t="s">
        <v>42</v>
      </c>
    </row>
    <row r="1573" spans="1:10" x14ac:dyDescent="0.25">
      <c r="A1573" t="s">
        <v>396</v>
      </c>
      <c r="C1573" s="286">
        <v>42546.809733796297</v>
      </c>
      <c r="D1573" t="s">
        <v>382</v>
      </c>
      <c r="E1573">
        <v>0</v>
      </c>
      <c r="F1573" s="287"/>
      <c r="G1573" s="287"/>
      <c r="H1573" s="287"/>
      <c r="I1573" t="s">
        <v>382</v>
      </c>
      <c r="J1573" t="s">
        <v>42</v>
      </c>
    </row>
    <row r="1574" spans="1:10" x14ac:dyDescent="0.25">
      <c r="A1574" t="s">
        <v>390</v>
      </c>
      <c r="C1574" s="286">
        <v>42547.001145833332</v>
      </c>
      <c r="D1574" t="s">
        <v>382</v>
      </c>
      <c r="E1574">
        <v>0</v>
      </c>
      <c r="F1574" s="287"/>
      <c r="G1574" s="287"/>
      <c r="H1574" s="287"/>
      <c r="I1574" t="s">
        <v>382</v>
      </c>
      <c r="J1574" t="s">
        <v>42</v>
      </c>
    </row>
    <row r="1575" spans="1:10" x14ac:dyDescent="0.25">
      <c r="A1575" t="s">
        <v>390</v>
      </c>
      <c r="C1575" s="286">
        <v>42547.57135416667</v>
      </c>
      <c r="D1575" t="s">
        <v>382</v>
      </c>
      <c r="E1575">
        <v>0</v>
      </c>
      <c r="F1575" s="287"/>
      <c r="G1575" s="287"/>
      <c r="H1575" s="287"/>
      <c r="I1575" t="s">
        <v>382</v>
      </c>
      <c r="J1575" t="s">
        <v>42</v>
      </c>
    </row>
    <row r="1576" spans="1:10" x14ac:dyDescent="0.25">
      <c r="A1576" t="s">
        <v>390</v>
      </c>
      <c r="C1576" s="286">
        <v>42547.628425925926</v>
      </c>
      <c r="D1576" t="s">
        <v>382</v>
      </c>
      <c r="E1576">
        <v>0</v>
      </c>
      <c r="F1576" s="287"/>
      <c r="G1576" s="287"/>
      <c r="H1576" s="287"/>
      <c r="I1576" t="s">
        <v>382</v>
      </c>
      <c r="J1576" t="s">
        <v>42</v>
      </c>
    </row>
    <row r="1577" spans="1:10" x14ac:dyDescent="0.25">
      <c r="A1577" t="s">
        <v>390</v>
      </c>
      <c r="C1577" s="286">
        <v>42547.648530092592</v>
      </c>
      <c r="D1577" t="s">
        <v>382</v>
      </c>
      <c r="E1577">
        <v>0</v>
      </c>
      <c r="F1577" s="287"/>
      <c r="G1577" s="287"/>
      <c r="H1577" s="287"/>
      <c r="I1577" t="s">
        <v>382</v>
      </c>
      <c r="J1577" t="s">
        <v>42</v>
      </c>
    </row>
    <row r="1578" spans="1:10" x14ac:dyDescent="0.25">
      <c r="A1578" t="s">
        <v>390</v>
      </c>
      <c r="C1578" s="286">
        <v>42547.84447916667</v>
      </c>
      <c r="D1578" t="s">
        <v>382</v>
      </c>
      <c r="E1578">
        <v>0</v>
      </c>
      <c r="F1578" s="287"/>
      <c r="G1578" s="287"/>
      <c r="H1578" s="287"/>
      <c r="I1578" t="s">
        <v>382</v>
      </c>
      <c r="J1578" t="s">
        <v>42</v>
      </c>
    </row>
    <row r="1579" spans="1:10" x14ac:dyDescent="0.25">
      <c r="A1579" t="s">
        <v>390</v>
      </c>
      <c r="C1579" s="286">
        <v>42547.882604166669</v>
      </c>
      <c r="D1579" t="s">
        <v>382</v>
      </c>
      <c r="E1579">
        <v>0</v>
      </c>
      <c r="F1579" s="287"/>
      <c r="G1579" s="287"/>
      <c r="H1579" s="287"/>
      <c r="I1579" t="s">
        <v>382</v>
      </c>
      <c r="J1579" t="s">
        <v>42</v>
      </c>
    </row>
    <row r="1580" spans="1:10" x14ac:dyDescent="0.25">
      <c r="A1580" t="s">
        <v>390</v>
      </c>
      <c r="C1580" s="286">
        <v>42547.949756944443</v>
      </c>
      <c r="D1580" t="s">
        <v>382</v>
      </c>
      <c r="E1580">
        <v>0</v>
      </c>
      <c r="F1580" s="287"/>
      <c r="G1580" s="287"/>
      <c r="H1580" s="287"/>
      <c r="I1580" t="s">
        <v>382</v>
      </c>
      <c r="J1580" t="s">
        <v>42</v>
      </c>
    </row>
    <row r="1581" spans="1:10" x14ac:dyDescent="0.25">
      <c r="A1581" t="s">
        <v>390</v>
      </c>
      <c r="C1581" s="286">
        <v>42547.980381944442</v>
      </c>
      <c r="D1581" t="s">
        <v>382</v>
      </c>
      <c r="E1581">
        <v>0</v>
      </c>
      <c r="F1581" s="287"/>
      <c r="G1581" s="287"/>
      <c r="H1581" s="287"/>
      <c r="I1581" t="s">
        <v>382</v>
      </c>
      <c r="J1581" t="s">
        <v>42</v>
      </c>
    </row>
    <row r="1582" spans="1:10" x14ac:dyDescent="0.25">
      <c r="A1582" t="s">
        <v>390</v>
      </c>
      <c r="C1582" s="286">
        <v>42548.697881944441</v>
      </c>
      <c r="D1582" t="s">
        <v>382</v>
      </c>
      <c r="E1582">
        <v>0</v>
      </c>
      <c r="F1582" s="287"/>
      <c r="G1582" s="287"/>
      <c r="H1582" s="287"/>
      <c r="I1582" t="s">
        <v>382</v>
      </c>
      <c r="J1582" t="s">
        <v>42</v>
      </c>
    </row>
    <row r="1583" spans="1:10" x14ac:dyDescent="0.25">
      <c r="A1583" t="s">
        <v>390</v>
      </c>
      <c r="C1583" s="286">
        <v>42548.764930555553</v>
      </c>
      <c r="D1583" t="s">
        <v>382</v>
      </c>
      <c r="E1583">
        <v>0</v>
      </c>
      <c r="F1583" s="287"/>
      <c r="G1583" s="287"/>
      <c r="H1583" s="287"/>
      <c r="I1583" t="s">
        <v>382</v>
      </c>
      <c r="J1583" t="s">
        <v>42</v>
      </c>
    </row>
    <row r="1584" spans="1:10" x14ac:dyDescent="0.25">
      <c r="A1584" t="s">
        <v>390</v>
      </c>
      <c r="C1584" s="286">
        <v>42548.771215277775</v>
      </c>
      <c r="D1584" t="s">
        <v>382</v>
      </c>
      <c r="E1584">
        <v>0</v>
      </c>
      <c r="F1584" s="287"/>
      <c r="G1584" s="287"/>
      <c r="H1584" s="287"/>
      <c r="I1584" t="s">
        <v>382</v>
      </c>
      <c r="J1584" t="s">
        <v>42</v>
      </c>
    </row>
    <row r="1585" spans="1:10" x14ac:dyDescent="0.25">
      <c r="A1585" t="s">
        <v>396</v>
      </c>
      <c r="C1585" s="286">
        <v>42548.822488425925</v>
      </c>
      <c r="D1585" t="s">
        <v>382</v>
      </c>
      <c r="E1585">
        <v>0</v>
      </c>
      <c r="F1585" s="287"/>
      <c r="G1585" s="287"/>
      <c r="H1585" s="287"/>
      <c r="I1585" t="s">
        <v>382</v>
      </c>
      <c r="J1585" t="s">
        <v>42</v>
      </c>
    </row>
    <row r="1586" spans="1:10" x14ac:dyDescent="0.25">
      <c r="A1586" t="s">
        <v>390</v>
      </c>
      <c r="C1586" s="286">
        <v>42548.960752314815</v>
      </c>
      <c r="D1586" t="s">
        <v>382</v>
      </c>
      <c r="E1586">
        <v>0</v>
      </c>
      <c r="F1586" s="287"/>
      <c r="G1586" s="287"/>
      <c r="H1586" s="287"/>
      <c r="I1586" t="s">
        <v>382</v>
      </c>
      <c r="J1586" t="s">
        <v>42</v>
      </c>
    </row>
    <row r="1587" spans="1:10" x14ac:dyDescent="0.25">
      <c r="A1587" t="s">
        <v>390</v>
      </c>
      <c r="C1587" s="286">
        <v>42549.004212962966</v>
      </c>
      <c r="D1587" t="s">
        <v>382</v>
      </c>
      <c r="E1587">
        <v>0</v>
      </c>
      <c r="F1587" s="287"/>
      <c r="G1587" s="287"/>
      <c r="H1587" s="287"/>
      <c r="I1587" t="s">
        <v>382</v>
      </c>
      <c r="J1587" t="s">
        <v>42</v>
      </c>
    </row>
    <row r="1588" spans="1:10" x14ac:dyDescent="0.25">
      <c r="A1588" t="s">
        <v>390</v>
      </c>
      <c r="C1588" s="286">
        <v>42549.448483796295</v>
      </c>
      <c r="D1588" t="s">
        <v>382</v>
      </c>
      <c r="E1588">
        <v>0</v>
      </c>
      <c r="F1588" s="287"/>
      <c r="G1588" s="287"/>
      <c r="H1588" s="287"/>
      <c r="I1588" t="s">
        <v>382</v>
      </c>
      <c r="J1588" t="s">
        <v>42</v>
      </c>
    </row>
    <row r="1589" spans="1:10" x14ac:dyDescent="0.25">
      <c r="A1589" t="s">
        <v>390</v>
      </c>
      <c r="C1589" s="286">
        <v>42549.696712962963</v>
      </c>
      <c r="D1589" t="s">
        <v>382</v>
      </c>
      <c r="E1589">
        <v>0</v>
      </c>
      <c r="F1589" s="287"/>
      <c r="G1589" s="287"/>
      <c r="H1589" s="287"/>
      <c r="I1589" t="s">
        <v>382</v>
      </c>
      <c r="J1589" t="s">
        <v>42</v>
      </c>
    </row>
    <row r="1590" spans="1:10" x14ac:dyDescent="0.25">
      <c r="A1590" t="s">
        <v>390</v>
      </c>
      <c r="C1590" s="286">
        <v>42549.752997685187</v>
      </c>
      <c r="D1590" t="s">
        <v>382</v>
      </c>
      <c r="E1590">
        <v>0</v>
      </c>
      <c r="F1590" s="287"/>
      <c r="G1590" s="287"/>
      <c r="H1590" s="287"/>
      <c r="I1590" t="s">
        <v>382</v>
      </c>
      <c r="J1590" t="s">
        <v>42</v>
      </c>
    </row>
    <row r="1591" spans="1:10" x14ac:dyDescent="0.25">
      <c r="A1591" t="s">
        <v>390</v>
      </c>
      <c r="C1591" s="286">
        <v>42549.789189814815</v>
      </c>
      <c r="D1591" t="s">
        <v>382</v>
      </c>
      <c r="E1591">
        <v>0</v>
      </c>
      <c r="F1591" s="287"/>
      <c r="G1591" s="287"/>
      <c r="H1591" s="287"/>
      <c r="I1591" t="s">
        <v>382</v>
      </c>
      <c r="J1591" t="s">
        <v>42</v>
      </c>
    </row>
    <row r="1592" spans="1:10" x14ac:dyDescent="0.25">
      <c r="A1592" t="s">
        <v>390</v>
      </c>
      <c r="C1592" s="286">
        <v>42550.060717592591</v>
      </c>
      <c r="D1592" t="s">
        <v>382</v>
      </c>
      <c r="E1592">
        <v>0</v>
      </c>
      <c r="F1592" s="287"/>
      <c r="G1592" s="287"/>
      <c r="H1592" s="287"/>
      <c r="I1592" t="s">
        <v>382</v>
      </c>
      <c r="J1592" t="s">
        <v>42</v>
      </c>
    </row>
    <row r="1593" spans="1:10" x14ac:dyDescent="0.25">
      <c r="A1593" t="s">
        <v>390</v>
      </c>
      <c r="C1593" s="286">
        <v>42550.089629629627</v>
      </c>
      <c r="D1593" t="s">
        <v>382</v>
      </c>
      <c r="E1593">
        <v>0</v>
      </c>
      <c r="F1593" s="287"/>
      <c r="G1593" s="287"/>
      <c r="H1593" s="287"/>
      <c r="I1593" t="s">
        <v>382</v>
      </c>
      <c r="J1593" t="s">
        <v>42</v>
      </c>
    </row>
    <row r="1594" spans="1:10" x14ac:dyDescent="0.25">
      <c r="A1594" t="s">
        <v>390</v>
      </c>
      <c r="C1594" s="286">
        <v>42550.097546296296</v>
      </c>
      <c r="D1594" t="s">
        <v>382</v>
      </c>
      <c r="E1594">
        <v>0</v>
      </c>
      <c r="F1594" s="287"/>
      <c r="G1594" s="287"/>
      <c r="H1594" s="287"/>
      <c r="I1594" t="s">
        <v>382</v>
      </c>
      <c r="J1594" t="s">
        <v>42</v>
      </c>
    </row>
    <row r="1595" spans="1:10" x14ac:dyDescent="0.25">
      <c r="A1595" t="s">
        <v>390</v>
      </c>
      <c r="C1595" s="286">
        <v>42550.528912037036</v>
      </c>
      <c r="D1595" t="s">
        <v>382</v>
      </c>
      <c r="E1595">
        <v>0</v>
      </c>
      <c r="F1595" s="287"/>
      <c r="G1595" s="287"/>
      <c r="H1595" s="287"/>
      <c r="I1595" t="s">
        <v>382</v>
      </c>
      <c r="J1595" t="s">
        <v>42</v>
      </c>
    </row>
    <row r="1596" spans="1:10" x14ac:dyDescent="0.25">
      <c r="A1596" t="s">
        <v>390</v>
      </c>
      <c r="C1596" s="286">
        <v>42550.545671296299</v>
      </c>
      <c r="D1596" t="s">
        <v>382</v>
      </c>
      <c r="E1596">
        <v>0</v>
      </c>
      <c r="F1596" s="287"/>
      <c r="G1596" s="287"/>
      <c r="H1596" s="287"/>
      <c r="I1596" t="s">
        <v>382</v>
      </c>
      <c r="J1596" t="s">
        <v>42</v>
      </c>
    </row>
    <row r="1597" spans="1:10" x14ac:dyDescent="0.25">
      <c r="A1597" t="s">
        <v>390</v>
      </c>
      <c r="C1597" s="286">
        <v>42550.561701388891</v>
      </c>
      <c r="D1597" t="s">
        <v>382</v>
      </c>
      <c r="E1597">
        <v>0</v>
      </c>
      <c r="F1597" s="287"/>
      <c r="G1597" s="287"/>
      <c r="H1597" s="287"/>
      <c r="I1597" t="s">
        <v>382</v>
      </c>
      <c r="J1597" t="s">
        <v>42</v>
      </c>
    </row>
    <row r="1598" spans="1:10" x14ac:dyDescent="0.25">
      <c r="A1598" t="s">
        <v>390</v>
      </c>
      <c r="C1598" s="286">
        <v>42550.577835648146</v>
      </c>
      <c r="D1598" t="s">
        <v>382</v>
      </c>
      <c r="E1598">
        <v>0</v>
      </c>
      <c r="F1598" s="287"/>
      <c r="G1598" s="287"/>
      <c r="H1598" s="287"/>
      <c r="I1598" t="s">
        <v>382</v>
      </c>
      <c r="J1598" t="s">
        <v>42</v>
      </c>
    </row>
    <row r="1599" spans="1:10" x14ac:dyDescent="0.25">
      <c r="A1599" t="s">
        <v>390</v>
      </c>
      <c r="C1599" s="286">
        <v>42550.685972222222</v>
      </c>
      <c r="D1599" t="s">
        <v>382</v>
      </c>
      <c r="E1599">
        <v>0</v>
      </c>
      <c r="F1599" s="287"/>
      <c r="G1599" s="287"/>
      <c r="H1599" s="287"/>
      <c r="I1599" t="s">
        <v>382</v>
      </c>
      <c r="J1599" t="s">
        <v>42</v>
      </c>
    </row>
    <row r="1600" spans="1:10" x14ac:dyDescent="0.25">
      <c r="A1600" t="s">
        <v>390</v>
      </c>
      <c r="C1600" s="286">
        <v>42550.729618055557</v>
      </c>
      <c r="D1600" t="s">
        <v>382</v>
      </c>
      <c r="E1600">
        <v>0</v>
      </c>
      <c r="F1600" s="287"/>
      <c r="G1600" s="287"/>
      <c r="H1600" s="287"/>
      <c r="I1600" t="s">
        <v>382</v>
      </c>
      <c r="J1600" t="s">
        <v>42</v>
      </c>
    </row>
    <row r="1601" spans="1:10" x14ac:dyDescent="0.25">
      <c r="A1601" t="s">
        <v>396</v>
      </c>
      <c r="C1601" s="286">
        <v>42550.819537037038</v>
      </c>
      <c r="D1601" t="s">
        <v>382</v>
      </c>
      <c r="E1601">
        <v>0</v>
      </c>
      <c r="F1601" s="287"/>
      <c r="G1601" s="287"/>
      <c r="H1601" s="287"/>
      <c r="I1601" t="s">
        <v>382</v>
      </c>
      <c r="J1601" t="s">
        <v>42</v>
      </c>
    </row>
    <row r="1602" spans="1:10" x14ac:dyDescent="0.25">
      <c r="A1602" t="s">
        <v>390</v>
      </c>
      <c r="C1602" s="286">
        <v>42550.856631944444</v>
      </c>
      <c r="D1602" t="s">
        <v>382</v>
      </c>
      <c r="E1602">
        <v>0</v>
      </c>
      <c r="F1602" s="287"/>
      <c r="G1602" s="287"/>
      <c r="H1602" s="287"/>
      <c r="I1602" t="s">
        <v>382</v>
      </c>
      <c r="J1602" t="s">
        <v>42</v>
      </c>
    </row>
    <row r="1603" spans="1:10" x14ac:dyDescent="0.25">
      <c r="A1603" t="s">
        <v>390</v>
      </c>
      <c r="C1603" s="286">
        <v>42550.860671296294</v>
      </c>
      <c r="D1603" t="s">
        <v>382</v>
      </c>
      <c r="E1603">
        <v>0</v>
      </c>
      <c r="F1603" s="287"/>
      <c r="G1603" s="287"/>
      <c r="H1603" s="287"/>
      <c r="I1603" t="s">
        <v>382</v>
      </c>
      <c r="J1603" t="s">
        <v>42</v>
      </c>
    </row>
    <row r="1604" spans="1:10" x14ac:dyDescent="0.25">
      <c r="A1604" t="s">
        <v>390</v>
      </c>
      <c r="C1604" s="286">
        <v>42550.876261574071</v>
      </c>
      <c r="D1604" t="s">
        <v>382</v>
      </c>
      <c r="E1604">
        <v>0</v>
      </c>
      <c r="F1604" s="287"/>
      <c r="G1604" s="287"/>
      <c r="H1604" s="287"/>
      <c r="I1604" t="s">
        <v>382</v>
      </c>
      <c r="J1604" t="s">
        <v>42</v>
      </c>
    </row>
    <row r="1605" spans="1:10" x14ac:dyDescent="0.25">
      <c r="A1605" t="s">
        <v>390</v>
      </c>
      <c r="C1605" s="286">
        <v>42550.888541666667</v>
      </c>
      <c r="D1605" t="s">
        <v>382</v>
      </c>
      <c r="E1605">
        <v>0</v>
      </c>
      <c r="F1605" s="287"/>
      <c r="G1605" s="287"/>
      <c r="H1605" s="287"/>
      <c r="I1605" t="s">
        <v>382</v>
      </c>
      <c r="J1605" t="s">
        <v>42</v>
      </c>
    </row>
    <row r="1606" spans="1:10" x14ac:dyDescent="0.25">
      <c r="A1606" t="s">
        <v>390</v>
      </c>
      <c r="C1606" s="286">
        <v>42550.892835648148</v>
      </c>
      <c r="D1606" t="s">
        <v>382</v>
      </c>
      <c r="E1606">
        <v>0</v>
      </c>
      <c r="F1606" s="287"/>
      <c r="G1606" s="287"/>
      <c r="H1606" s="287"/>
      <c r="I1606" t="s">
        <v>382</v>
      </c>
      <c r="J1606" t="s">
        <v>42</v>
      </c>
    </row>
    <row r="1607" spans="1:10" x14ac:dyDescent="0.25">
      <c r="A1607" t="s">
        <v>390</v>
      </c>
      <c r="C1607" s="286">
        <v>42550.944884259261</v>
      </c>
      <c r="D1607" t="s">
        <v>382</v>
      </c>
      <c r="E1607">
        <v>0</v>
      </c>
      <c r="F1607" s="287"/>
      <c r="G1607" s="287"/>
      <c r="H1607" s="287"/>
      <c r="I1607" t="s">
        <v>382</v>
      </c>
      <c r="J1607" t="s">
        <v>42</v>
      </c>
    </row>
    <row r="1608" spans="1:10" x14ac:dyDescent="0.25">
      <c r="A1608" t="s">
        <v>390</v>
      </c>
      <c r="C1608" s="286">
        <v>42551.737546296295</v>
      </c>
      <c r="D1608" t="s">
        <v>382</v>
      </c>
      <c r="E1608">
        <v>0</v>
      </c>
      <c r="F1608" s="287"/>
      <c r="G1608" s="287"/>
      <c r="H1608" s="287"/>
      <c r="I1608" t="s">
        <v>382</v>
      </c>
      <c r="J1608" t="s">
        <v>42</v>
      </c>
    </row>
    <row r="1609" spans="1:10" x14ac:dyDescent="0.25">
      <c r="A1609" t="s">
        <v>390</v>
      </c>
      <c r="C1609" s="286">
        <v>42551.758402777778</v>
      </c>
      <c r="D1609" t="s">
        <v>382</v>
      </c>
      <c r="E1609">
        <v>0</v>
      </c>
      <c r="F1609" s="287"/>
      <c r="G1609" s="287"/>
      <c r="H1609" s="287"/>
      <c r="I1609" t="s">
        <v>382</v>
      </c>
      <c r="J1609" t="s">
        <v>42</v>
      </c>
    </row>
    <row r="1610" spans="1:10" x14ac:dyDescent="0.25">
      <c r="A1610" t="s">
        <v>390</v>
      </c>
      <c r="C1610" s="286">
        <v>42551.774652777778</v>
      </c>
      <c r="D1610" t="s">
        <v>382</v>
      </c>
      <c r="E1610">
        <v>0</v>
      </c>
      <c r="F1610" s="287"/>
      <c r="G1610" s="287"/>
      <c r="H1610" s="287"/>
      <c r="I1610" t="s">
        <v>382</v>
      </c>
      <c r="J1610" t="s">
        <v>42</v>
      </c>
    </row>
    <row r="1611" spans="1:10" x14ac:dyDescent="0.25">
      <c r="A1611" t="s">
        <v>390</v>
      </c>
      <c r="C1611" s="286">
        <v>42551.876377314817</v>
      </c>
      <c r="D1611" t="s">
        <v>382</v>
      </c>
      <c r="E1611">
        <v>0</v>
      </c>
      <c r="F1611" s="287"/>
      <c r="G1611" s="287"/>
      <c r="H1611" s="287"/>
      <c r="I1611" t="s">
        <v>382</v>
      </c>
      <c r="J1611" t="s">
        <v>42</v>
      </c>
    </row>
    <row r="1612" spans="1:10" x14ac:dyDescent="0.25">
      <c r="A1612" t="s">
        <v>390</v>
      </c>
      <c r="C1612" s="286">
        <v>42551.969814814816</v>
      </c>
      <c r="D1612" t="s">
        <v>382</v>
      </c>
      <c r="E1612">
        <v>0</v>
      </c>
      <c r="F1612" s="287"/>
      <c r="G1612" s="287"/>
      <c r="H1612" s="287"/>
      <c r="I1612" t="s">
        <v>382</v>
      </c>
      <c r="J1612" t="s">
        <v>42</v>
      </c>
    </row>
    <row r="1613" spans="1:10" x14ac:dyDescent="0.25">
      <c r="A1613" t="s">
        <v>390</v>
      </c>
      <c r="C1613" s="286">
        <v>42552.590613425928</v>
      </c>
      <c r="D1613" t="s">
        <v>382</v>
      </c>
      <c r="E1613">
        <v>0</v>
      </c>
      <c r="F1613" s="287"/>
      <c r="G1613" s="287"/>
      <c r="H1613" s="287"/>
      <c r="I1613" t="s">
        <v>382</v>
      </c>
      <c r="J1613" t="s">
        <v>42</v>
      </c>
    </row>
    <row r="1614" spans="1:10" x14ac:dyDescent="0.25">
      <c r="A1614" t="s">
        <v>390</v>
      </c>
      <c r="C1614" s="286">
        <v>42552.59065972222</v>
      </c>
      <c r="D1614" t="s">
        <v>382</v>
      </c>
      <c r="E1614">
        <v>0</v>
      </c>
      <c r="F1614" s="287"/>
      <c r="G1614" s="287"/>
      <c r="H1614" s="287"/>
      <c r="I1614" t="s">
        <v>382</v>
      </c>
      <c r="J1614" t="s">
        <v>42</v>
      </c>
    </row>
    <row r="1615" spans="1:10" x14ac:dyDescent="0.25">
      <c r="A1615" t="s">
        <v>390</v>
      </c>
      <c r="C1615" s="286">
        <v>42552.742326388892</v>
      </c>
      <c r="D1615" t="s">
        <v>382</v>
      </c>
      <c r="E1615">
        <v>0</v>
      </c>
      <c r="F1615" s="287"/>
      <c r="G1615" s="287"/>
      <c r="H1615" s="287"/>
      <c r="I1615" t="s">
        <v>382</v>
      </c>
      <c r="J1615" t="s">
        <v>42</v>
      </c>
    </row>
    <row r="1616" spans="1:10" x14ac:dyDescent="0.25">
      <c r="A1616" t="s">
        <v>396</v>
      </c>
      <c r="C1616" s="286">
        <v>42552.821967592594</v>
      </c>
      <c r="D1616" t="s">
        <v>382</v>
      </c>
      <c r="E1616">
        <v>0</v>
      </c>
      <c r="F1616" s="287"/>
      <c r="G1616" s="287"/>
      <c r="H1616" s="287"/>
      <c r="I1616" t="s">
        <v>382</v>
      </c>
      <c r="J1616" t="s">
        <v>42</v>
      </c>
    </row>
    <row r="1617" spans="1:10" x14ac:dyDescent="0.25">
      <c r="A1617" t="s">
        <v>390</v>
      </c>
      <c r="C1617" s="286">
        <v>42552.883275462962</v>
      </c>
      <c r="D1617" t="s">
        <v>382</v>
      </c>
      <c r="E1617">
        <v>0</v>
      </c>
      <c r="F1617" s="287"/>
      <c r="G1617" s="287"/>
      <c r="H1617" s="287"/>
      <c r="I1617" t="s">
        <v>382</v>
      </c>
      <c r="J1617" t="s">
        <v>42</v>
      </c>
    </row>
    <row r="1618" spans="1:10" x14ac:dyDescent="0.25">
      <c r="A1618" t="s">
        <v>390</v>
      </c>
      <c r="C1618" s="286">
        <v>42552.967141203706</v>
      </c>
      <c r="D1618" t="s">
        <v>382</v>
      </c>
      <c r="E1618">
        <v>0</v>
      </c>
      <c r="F1618" s="287"/>
      <c r="G1618" s="287"/>
      <c r="H1618" s="287"/>
      <c r="I1618" t="s">
        <v>382</v>
      </c>
      <c r="J1618" t="s">
        <v>42</v>
      </c>
    </row>
    <row r="1619" spans="1:10" x14ac:dyDescent="0.25">
      <c r="A1619" t="s">
        <v>390</v>
      </c>
      <c r="C1619" s="286">
        <v>42553.54184027778</v>
      </c>
      <c r="D1619" t="s">
        <v>382</v>
      </c>
      <c r="E1619">
        <v>0</v>
      </c>
      <c r="F1619" s="287"/>
      <c r="G1619" s="287"/>
      <c r="H1619" s="287"/>
      <c r="I1619" t="s">
        <v>382</v>
      </c>
      <c r="J1619" t="s">
        <v>42</v>
      </c>
    </row>
    <row r="1620" spans="1:10" x14ac:dyDescent="0.25">
      <c r="A1620" t="s">
        <v>439</v>
      </c>
      <c r="C1620" s="286">
        <v>42553.626886574071</v>
      </c>
      <c r="D1620" t="s">
        <v>382</v>
      </c>
      <c r="E1620">
        <v>0</v>
      </c>
      <c r="F1620" s="287"/>
      <c r="G1620" s="287"/>
      <c r="H1620" s="287"/>
      <c r="I1620" t="s">
        <v>382</v>
      </c>
      <c r="J1620" t="s">
        <v>42</v>
      </c>
    </row>
    <row r="1621" spans="1:10" x14ac:dyDescent="0.25">
      <c r="A1621" t="s">
        <v>440</v>
      </c>
      <c r="C1621" s="286">
        <v>42553.628298611111</v>
      </c>
      <c r="D1621" t="s">
        <v>382</v>
      </c>
      <c r="E1621">
        <v>0</v>
      </c>
      <c r="F1621" s="287"/>
      <c r="G1621" s="287"/>
      <c r="H1621" s="287"/>
      <c r="I1621" t="s">
        <v>382</v>
      </c>
      <c r="J1621" t="s">
        <v>42</v>
      </c>
    </row>
    <row r="1622" spans="1:10" x14ac:dyDescent="0.25">
      <c r="A1622" t="s">
        <v>390</v>
      </c>
      <c r="C1622" s="286">
        <v>42553.815335648149</v>
      </c>
      <c r="D1622" t="s">
        <v>382</v>
      </c>
      <c r="E1622">
        <v>0</v>
      </c>
      <c r="F1622" s="287"/>
      <c r="G1622" s="287"/>
      <c r="H1622" s="287"/>
      <c r="I1622" t="s">
        <v>382</v>
      </c>
      <c r="J1622" t="s">
        <v>42</v>
      </c>
    </row>
    <row r="1623" spans="1:10" x14ac:dyDescent="0.25">
      <c r="A1623" t="s">
        <v>390</v>
      </c>
      <c r="C1623" s="286">
        <v>42554.020601851851</v>
      </c>
      <c r="D1623" t="s">
        <v>382</v>
      </c>
      <c r="E1623">
        <v>0</v>
      </c>
      <c r="F1623" s="287"/>
      <c r="G1623" s="287"/>
      <c r="H1623" s="287"/>
      <c r="I1623" t="s">
        <v>382</v>
      </c>
      <c r="J1623" t="s">
        <v>42</v>
      </c>
    </row>
    <row r="1624" spans="1:10" x14ac:dyDescent="0.25">
      <c r="A1624" t="s">
        <v>390</v>
      </c>
      <c r="C1624" s="286">
        <v>42554.021458333336</v>
      </c>
      <c r="D1624" t="s">
        <v>382</v>
      </c>
      <c r="E1624">
        <v>0</v>
      </c>
      <c r="F1624" s="287"/>
      <c r="G1624" s="287"/>
      <c r="H1624" s="287"/>
      <c r="I1624" t="s">
        <v>382</v>
      </c>
      <c r="J1624" t="s">
        <v>42</v>
      </c>
    </row>
    <row r="1625" spans="1:10" x14ac:dyDescent="0.25">
      <c r="A1625" t="s">
        <v>390</v>
      </c>
      <c r="C1625" s="286">
        <v>42554.63484953704</v>
      </c>
      <c r="D1625" t="s">
        <v>382</v>
      </c>
      <c r="E1625">
        <v>0</v>
      </c>
      <c r="F1625" s="287"/>
      <c r="G1625" s="287"/>
      <c r="H1625" s="287"/>
      <c r="I1625" t="s">
        <v>382</v>
      </c>
      <c r="J1625" t="s">
        <v>42</v>
      </c>
    </row>
    <row r="1626" spans="1:10" x14ac:dyDescent="0.25">
      <c r="A1626" t="s">
        <v>390</v>
      </c>
      <c r="C1626" s="286">
        <v>42554.756620370368</v>
      </c>
      <c r="D1626" t="s">
        <v>382</v>
      </c>
      <c r="E1626">
        <v>0</v>
      </c>
      <c r="F1626" s="287"/>
      <c r="G1626" s="287"/>
      <c r="H1626" s="287"/>
      <c r="I1626" t="s">
        <v>382</v>
      </c>
      <c r="J1626" t="s">
        <v>42</v>
      </c>
    </row>
    <row r="1627" spans="1:10" x14ac:dyDescent="0.25">
      <c r="A1627" t="s">
        <v>390</v>
      </c>
      <c r="C1627" s="286">
        <v>42554.772303240738</v>
      </c>
      <c r="D1627" t="s">
        <v>382</v>
      </c>
      <c r="E1627">
        <v>0</v>
      </c>
      <c r="F1627" s="287"/>
      <c r="G1627" s="287"/>
      <c r="H1627" s="287"/>
      <c r="I1627" t="s">
        <v>382</v>
      </c>
      <c r="J1627" t="s">
        <v>42</v>
      </c>
    </row>
    <row r="1628" spans="1:10" x14ac:dyDescent="0.25">
      <c r="A1628" t="s">
        <v>396</v>
      </c>
      <c r="C1628" s="286">
        <v>42554.828564814816</v>
      </c>
      <c r="D1628" t="s">
        <v>382</v>
      </c>
      <c r="E1628">
        <v>0</v>
      </c>
      <c r="F1628" s="287"/>
      <c r="G1628" s="287"/>
      <c r="H1628" s="287"/>
      <c r="I1628" t="s">
        <v>382</v>
      </c>
      <c r="J1628" t="s">
        <v>42</v>
      </c>
    </row>
    <row r="1629" spans="1:10" x14ac:dyDescent="0.25">
      <c r="A1629" t="s">
        <v>390</v>
      </c>
      <c r="C1629" s="286">
        <v>42554.976076388892</v>
      </c>
      <c r="D1629" t="s">
        <v>382</v>
      </c>
      <c r="E1629">
        <v>0</v>
      </c>
      <c r="F1629" s="287"/>
      <c r="G1629" s="287"/>
      <c r="H1629" s="287"/>
      <c r="I1629" t="s">
        <v>382</v>
      </c>
      <c r="J1629" t="s">
        <v>42</v>
      </c>
    </row>
    <row r="1630" spans="1:10" x14ac:dyDescent="0.25">
      <c r="A1630" t="s">
        <v>390</v>
      </c>
      <c r="C1630" s="286">
        <v>42555.000914351855</v>
      </c>
      <c r="D1630" t="s">
        <v>382</v>
      </c>
      <c r="E1630">
        <v>0</v>
      </c>
      <c r="F1630" s="287"/>
      <c r="G1630" s="287"/>
      <c r="H1630" s="287"/>
      <c r="I1630" t="s">
        <v>382</v>
      </c>
      <c r="J1630" t="s">
        <v>42</v>
      </c>
    </row>
    <row r="1631" spans="1:10" x14ac:dyDescent="0.25">
      <c r="A1631" t="s">
        <v>390</v>
      </c>
      <c r="C1631" s="286">
        <v>42555.151805555557</v>
      </c>
      <c r="D1631" t="s">
        <v>382</v>
      </c>
      <c r="E1631">
        <v>0</v>
      </c>
      <c r="F1631" s="287"/>
      <c r="G1631" s="287"/>
      <c r="H1631" s="287"/>
      <c r="I1631" t="s">
        <v>382</v>
      </c>
      <c r="J1631" t="s">
        <v>42</v>
      </c>
    </row>
    <row r="1632" spans="1:10" x14ac:dyDescent="0.25">
      <c r="A1632" t="s">
        <v>390</v>
      </c>
      <c r="C1632" s="286">
        <v>42555.52783564815</v>
      </c>
      <c r="D1632" t="s">
        <v>382</v>
      </c>
      <c r="E1632">
        <v>0</v>
      </c>
      <c r="F1632" s="287"/>
      <c r="G1632" s="287"/>
      <c r="H1632" s="287"/>
      <c r="I1632" t="s">
        <v>382</v>
      </c>
      <c r="J1632" t="s">
        <v>42</v>
      </c>
    </row>
    <row r="1633" spans="1:10" x14ac:dyDescent="0.25">
      <c r="A1633" t="s">
        <v>390</v>
      </c>
      <c r="C1633" s="286">
        <v>42555.637638888889</v>
      </c>
      <c r="D1633" t="s">
        <v>382</v>
      </c>
      <c r="E1633">
        <v>0</v>
      </c>
      <c r="F1633" s="287"/>
      <c r="G1633" s="287"/>
      <c r="H1633" s="287"/>
      <c r="I1633" t="s">
        <v>382</v>
      </c>
      <c r="J1633" t="s">
        <v>42</v>
      </c>
    </row>
    <row r="1634" spans="1:10" x14ac:dyDescent="0.25">
      <c r="A1634" t="s">
        <v>390</v>
      </c>
      <c r="C1634" s="286">
        <v>42555.862557870372</v>
      </c>
      <c r="D1634" t="s">
        <v>382</v>
      </c>
      <c r="E1634">
        <v>0</v>
      </c>
      <c r="F1634" s="287"/>
      <c r="G1634" s="287"/>
      <c r="H1634" s="287"/>
      <c r="I1634" t="s">
        <v>382</v>
      </c>
      <c r="J1634" t="s">
        <v>42</v>
      </c>
    </row>
    <row r="1635" spans="1:10" x14ac:dyDescent="0.25">
      <c r="A1635" t="s">
        <v>390</v>
      </c>
      <c r="C1635" s="286">
        <v>42555.881331018521</v>
      </c>
      <c r="D1635" t="s">
        <v>382</v>
      </c>
      <c r="E1635">
        <v>0</v>
      </c>
      <c r="F1635" s="287"/>
      <c r="G1635" s="287"/>
      <c r="H1635" s="287"/>
      <c r="I1635" t="s">
        <v>382</v>
      </c>
      <c r="J1635" t="s">
        <v>42</v>
      </c>
    </row>
    <row r="1636" spans="1:10" x14ac:dyDescent="0.25">
      <c r="A1636" t="s">
        <v>390</v>
      </c>
      <c r="C1636" s="286">
        <v>42555.884722222225</v>
      </c>
      <c r="D1636" t="s">
        <v>382</v>
      </c>
      <c r="E1636">
        <v>0</v>
      </c>
      <c r="F1636" s="287"/>
      <c r="G1636" s="287"/>
      <c r="H1636" s="287"/>
      <c r="I1636" t="s">
        <v>382</v>
      </c>
      <c r="J1636" t="s">
        <v>42</v>
      </c>
    </row>
    <row r="1637" spans="1:10" x14ac:dyDescent="0.25">
      <c r="A1637" t="s">
        <v>390</v>
      </c>
      <c r="C1637" s="286">
        <v>42555.997673611113</v>
      </c>
      <c r="D1637" t="s">
        <v>382</v>
      </c>
      <c r="E1637">
        <v>0</v>
      </c>
      <c r="F1637" s="287"/>
      <c r="G1637" s="287"/>
      <c r="H1637" s="287"/>
      <c r="I1637" t="s">
        <v>382</v>
      </c>
      <c r="J1637" t="s">
        <v>42</v>
      </c>
    </row>
    <row r="1638" spans="1:10" x14ac:dyDescent="0.25">
      <c r="A1638" t="s">
        <v>390</v>
      </c>
      <c r="C1638" s="286">
        <v>42556.000462962962</v>
      </c>
      <c r="D1638" t="s">
        <v>382</v>
      </c>
      <c r="E1638">
        <v>0</v>
      </c>
      <c r="F1638" s="287"/>
      <c r="G1638" s="287"/>
      <c r="H1638" s="287"/>
      <c r="I1638" t="s">
        <v>382</v>
      </c>
      <c r="J1638" t="s">
        <v>42</v>
      </c>
    </row>
    <row r="1639" spans="1:10" x14ac:dyDescent="0.25">
      <c r="A1639" t="s">
        <v>390</v>
      </c>
      <c r="C1639" s="286">
        <v>42556.089386574073</v>
      </c>
      <c r="D1639" t="s">
        <v>382</v>
      </c>
      <c r="E1639">
        <v>0</v>
      </c>
      <c r="F1639" s="287"/>
      <c r="G1639" s="287"/>
      <c r="H1639" s="287"/>
      <c r="I1639" t="s">
        <v>382</v>
      </c>
      <c r="J1639" t="s">
        <v>42</v>
      </c>
    </row>
    <row r="1640" spans="1:10" x14ac:dyDescent="0.25">
      <c r="A1640" t="s">
        <v>390</v>
      </c>
      <c r="C1640" s="286">
        <v>42556.145925925928</v>
      </c>
      <c r="D1640" t="s">
        <v>382</v>
      </c>
      <c r="E1640">
        <v>0</v>
      </c>
      <c r="F1640" s="287"/>
      <c r="G1640" s="287"/>
      <c r="H1640" s="287"/>
      <c r="I1640" t="s">
        <v>382</v>
      </c>
      <c r="J1640" t="s">
        <v>42</v>
      </c>
    </row>
    <row r="1641" spans="1:10" x14ac:dyDescent="0.25">
      <c r="A1641" t="s">
        <v>390</v>
      </c>
      <c r="C1641" s="286">
        <v>42556.480821759258</v>
      </c>
      <c r="D1641" t="s">
        <v>382</v>
      </c>
      <c r="E1641">
        <v>0</v>
      </c>
      <c r="F1641" s="287"/>
      <c r="G1641" s="287"/>
      <c r="H1641" s="287"/>
      <c r="I1641" t="s">
        <v>382</v>
      </c>
      <c r="J1641" t="s">
        <v>42</v>
      </c>
    </row>
    <row r="1642" spans="1:10" x14ac:dyDescent="0.25">
      <c r="A1642" t="s">
        <v>390</v>
      </c>
      <c r="C1642" s="286">
        <v>42556.648854166669</v>
      </c>
      <c r="D1642" t="s">
        <v>382</v>
      </c>
      <c r="E1642">
        <v>0</v>
      </c>
      <c r="F1642" s="287"/>
      <c r="G1642" s="287"/>
      <c r="H1642" s="287"/>
      <c r="I1642" t="s">
        <v>382</v>
      </c>
      <c r="J1642" t="s">
        <v>42</v>
      </c>
    </row>
    <row r="1643" spans="1:10" x14ac:dyDescent="0.25">
      <c r="A1643" t="s">
        <v>396</v>
      </c>
      <c r="C1643" s="286">
        <v>42556.84033564815</v>
      </c>
      <c r="D1643" t="s">
        <v>382</v>
      </c>
      <c r="E1643">
        <v>0</v>
      </c>
      <c r="F1643" s="287"/>
      <c r="G1643" s="287"/>
      <c r="H1643" s="287"/>
      <c r="I1643" t="s">
        <v>382</v>
      </c>
      <c r="J1643" t="s">
        <v>42</v>
      </c>
    </row>
    <row r="1644" spans="1:10" x14ac:dyDescent="0.25">
      <c r="A1644" t="s">
        <v>390</v>
      </c>
      <c r="C1644" s="286">
        <v>42556.962557870371</v>
      </c>
      <c r="D1644" t="s">
        <v>382</v>
      </c>
      <c r="E1644">
        <v>0</v>
      </c>
      <c r="F1644" s="287"/>
      <c r="G1644" s="287"/>
      <c r="H1644" s="287"/>
      <c r="I1644" t="s">
        <v>382</v>
      </c>
      <c r="J1644" t="s">
        <v>42</v>
      </c>
    </row>
    <row r="1645" spans="1:10" x14ac:dyDescent="0.25">
      <c r="A1645" t="s">
        <v>390</v>
      </c>
      <c r="C1645" s="286">
        <v>42557.262465277781</v>
      </c>
      <c r="D1645" t="s">
        <v>382</v>
      </c>
      <c r="E1645">
        <v>0</v>
      </c>
      <c r="F1645" s="287"/>
      <c r="G1645" s="287"/>
      <c r="H1645" s="287"/>
      <c r="I1645" t="s">
        <v>382</v>
      </c>
      <c r="J1645" t="s">
        <v>42</v>
      </c>
    </row>
    <row r="1646" spans="1:10" x14ac:dyDescent="0.25">
      <c r="A1646" t="s">
        <v>390</v>
      </c>
      <c r="C1646" s="286">
        <v>42557.542395833334</v>
      </c>
      <c r="D1646" t="s">
        <v>382</v>
      </c>
      <c r="E1646">
        <v>0</v>
      </c>
      <c r="F1646" s="287"/>
      <c r="G1646" s="287"/>
      <c r="H1646" s="287"/>
      <c r="I1646" t="s">
        <v>382</v>
      </c>
      <c r="J1646" t="s">
        <v>42</v>
      </c>
    </row>
    <row r="1647" spans="1:10" x14ac:dyDescent="0.25">
      <c r="A1647" t="s">
        <v>390</v>
      </c>
      <c r="C1647" s="286">
        <v>42557.557997685188</v>
      </c>
      <c r="D1647" t="s">
        <v>382</v>
      </c>
      <c r="E1647">
        <v>0</v>
      </c>
      <c r="F1647" s="287"/>
      <c r="G1647" s="287"/>
      <c r="H1647" s="287"/>
      <c r="I1647" t="s">
        <v>382</v>
      </c>
      <c r="J1647" t="s">
        <v>42</v>
      </c>
    </row>
    <row r="1648" spans="1:10" x14ac:dyDescent="0.25">
      <c r="A1648" t="s">
        <v>390</v>
      </c>
      <c r="C1648" s="286">
        <v>42557.585833333331</v>
      </c>
      <c r="D1648" t="s">
        <v>382</v>
      </c>
      <c r="E1648">
        <v>0</v>
      </c>
      <c r="F1648" s="287"/>
      <c r="G1648" s="287"/>
      <c r="H1648" s="287"/>
      <c r="I1648" t="s">
        <v>382</v>
      </c>
      <c r="J1648" t="s">
        <v>42</v>
      </c>
    </row>
    <row r="1649" spans="1:10" x14ac:dyDescent="0.25">
      <c r="A1649" t="s">
        <v>390</v>
      </c>
      <c r="C1649" s="286">
        <v>42557.774363425924</v>
      </c>
      <c r="D1649" t="s">
        <v>382</v>
      </c>
      <c r="E1649">
        <v>0</v>
      </c>
      <c r="F1649" s="287"/>
      <c r="G1649" s="287"/>
      <c r="H1649" s="287"/>
      <c r="I1649" t="s">
        <v>382</v>
      </c>
      <c r="J1649" t="s">
        <v>42</v>
      </c>
    </row>
    <row r="1650" spans="1:10" x14ac:dyDescent="0.25">
      <c r="A1650" t="s">
        <v>390</v>
      </c>
      <c r="C1650" s="286">
        <v>42557.882870370369</v>
      </c>
      <c r="D1650" t="s">
        <v>382</v>
      </c>
      <c r="E1650">
        <v>0</v>
      </c>
      <c r="F1650" s="287"/>
      <c r="G1650" s="287"/>
      <c r="H1650" s="287"/>
      <c r="I1650" t="s">
        <v>382</v>
      </c>
      <c r="J1650" t="s">
        <v>42</v>
      </c>
    </row>
    <row r="1651" spans="1:10" x14ac:dyDescent="0.25">
      <c r="A1651" t="s">
        <v>390</v>
      </c>
      <c r="C1651" s="286">
        <v>42557.901226851849</v>
      </c>
      <c r="D1651" t="s">
        <v>382</v>
      </c>
      <c r="E1651">
        <v>0</v>
      </c>
      <c r="F1651" s="287"/>
      <c r="G1651" s="287"/>
      <c r="H1651" s="287"/>
      <c r="I1651" t="s">
        <v>382</v>
      </c>
      <c r="J1651" t="s">
        <v>42</v>
      </c>
    </row>
    <row r="1652" spans="1:10" x14ac:dyDescent="0.25">
      <c r="A1652" t="s">
        <v>390</v>
      </c>
      <c r="C1652" s="286">
        <v>42557.960844907408</v>
      </c>
      <c r="D1652" t="s">
        <v>382</v>
      </c>
      <c r="E1652">
        <v>0</v>
      </c>
      <c r="F1652" s="287"/>
      <c r="G1652" s="287"/>
      <c r="H1652" s="287"/>
      <c r="I1652" t="s">
        <v>382</v>
      </c>
      <c r="J1652" t="s">
        <v>42</v>
      </c>
    </row>
    <row r="1653" spans="1:10" x14ac:dyDescent="0.25">
      <c r="A1653" t="s">
        <v>390</v>
      </c>
      <c r="C1653" s="286">
        <v>42558.045555555553</v>
      </c>
      <c r="D1653" t="s">
        <v>382</v>
      </c>
      <c r="E1653">
        <v>0</v>
      </c>
      <c r="F1653" s="287"/>
      <c r="G1653" s="287"/>
      <c r="H1653" s="287"/>
      <c r="I1653" t="s">
        <v>382</v>
      </c>
      <c r="J1653" t="s">
        <v>42</v>
      </c>
    </row>
    <row r="1654" spans="1:10" x14ac:dyDescent="0.25">
      <c r="A1654" t="s">
        <v>390</v>
      </c>
      <c r="C1654" s="286">
        <v>42558.522731481484</v>
      </c>
      <c r="D1654" t="s">
        <v>382</v>
      </c>
      <c r="E1654">
        <v>0</v>
      </c>
      <c r="F1654" s="287"/>
      <c r="G1654" s="287"/>
      <c r="H1654" s="287"/>
      <c r="I1654" t="s">
        <v>382</v>
      </c>
      <c r="J1654" t="s">
        <v>42</v>
      </c>
    </row>
    <row r="1655" spans="1:10" x14ac:dyDescent="0.25">
      <c r="A1655" t="s">
        <v>390</v>
      </c>
      <c r="C1655" s="286">
        <v>42558.523831018516</v>
      </c>
      <c r="D1655" t="s">
        <v>382</v>
      </c>
      <c r="E1655">
        <v>0</v>
      </c>
      <c r="F1655" s="287"/>
      <c r="G1655" s="287"/>
      <c r="H1655" s="287"/>
      <c r="I1655" t="s">
        <v>382</v>
      </c>
      <c r="J1655" t="s">
        <v>42</v>
      </c>
    </row>
    <row r="1656" spans="1:10" x14ac:dyDescent="0.25">
      <c r="A1656" t="s">
        <v>390</v>
      </c>
      <c r="C1656" s="286">
        <v>42558.544699074075</v>
      </c>
      <c r="D1656" t="s">
        <v>382</v>
      </c>
      <c r="E1656">
        <v>0</v>
      </c>
      <c r="F1656" s="287"/>
      <c r="G1656" s="287"/>
      <c r="H1656" s="287"/>
      <c r="I1656" t="s">
        <v>382</v>
      </c>
      <c r="J1656" t="s">
        <v>42</v>
      </c>
    </row>
    <row r="1657" spans="1:10" x14ac:dyDescent="0.25">
      <c r="A1657" t="s">
        <v>390</v>
      </c>
      <c r="C1657" s="286">
        <v>42558.614884259259</v>
      </c>
      <c r="D1657" t="s">
        <v>382</v>
      </c>
      <c r="E1657">
        <v>0</v>
      </c>
      <c r="F1657" s="287"/>
      <c r="G1657" s="287"/>
      <c r="H1657" s="287"/>
      <c r="I1657" t="s">
        <v>382</v>
      </c>
      <c r="J1657" t="s">
        <v>42</v>
      </c>
    </row>
    <row r="1658" spans="1:10" x14ac:dyDescent="0.25">
      <c r="A1658" t="s">
        <v>390</v>
      </c>
      <c r="C1658" s="286">
        <v>42558.710312499999</v>
      </c>
      <c r="D1658" t="s">
        <v>382</v>
      </c>
      <c r="E1658">
        <v>0</v>
      </c>
      <c r="F1658" s="287"/>
      <c r="G1658" s="287"/>
      <c r="H1658" s="287"/>
      <c r="I1658" t="s">
        <v>382</v>
      </c>
      <c r="J1658" t="s">
        <v>42</v>
      </c>
    </row>
    <row r="1659" spans="1:10" x14ac:dyDescent="0.25">
      <c r="A1659" t="s">
        <v>390</v>
      </c>
      <c r="C1659" s="286">
        <v>42558.71361111111</v>
      </c>
      <c r="D1659" t="s">
        <v>382</v>
      </c>
      <c r="E1659">
        <v>0</v>
      </c>
      <c r="F1659" s="287"/>
      <c r="G1659" s="287"/>
      <c r="H1659" s="287"/>
      <c r="I1659" t="s">
        <v>382</v>
      </c>
      <c r="J1659" t="s">
        <v>42</v>
      </c>
    </row>
    <row r="1660" spans="1:10" x14ac:dyDescent="0.25">
      <c r="A1660" t="s">
        <v>390</v>
      </c>
      <c r="C1660" s="286">
        <v>42558.803819444445</v>
      </c>
      <c r="D1660" t="s">
        <v>382</v>
      </c>
      <c r="E1660">
        <v>0</v>
      </c>
      <c r="F1660" s="287"/>
      <c r="G1660" s="287"/>
      <c r="H1660" s="287"/>
      <c r="I1660" t="s">
        <v>382</v>
      </c>
      <c r="J1660" t="s">
        <v>42</v>
      </c>
    </row>
    <row r="1661" spans="1:10" x14ac:dyDescent="0.25">
      <c r="A1661" t="s">
        <v>396</v>
      </c>
      <c r="C1661" s="286">
        <v>42558.81521990741</v>
      </c>
      <c r="D1661" t="s">
        <v>382</v>
      </c>
      <c r="E1661">
        <v>0</v>
      </c>
      <c r="F1661" s="287"/>
      <c r="G1661" s="287"/>
      <c r="H1661" s="287"/>
      <c r="I1661" t="s">
        <v>382</v>
      </c>
      <c r="J1661" t="s">
        <v>42</v>
      </c>
    </row>
    <row r="1662" spans="1:10" x14ac:dyDescent="0.25">
      <c r="A1662" t="s">
        <v>390</v>
      </c>
      <c r="C1662" s="286">
        <v>42558.870358796295</v>
      </c>
      <c r="D1662" t="s">
        <v>382</v>
      </c>
      <c r="E1662">
        <v>0</v>
      </c>
      <c r="F1662" s="287"/>
      <c r="G1662" s="287"/>
      <c r="H1662" s="287"/>
      <c r="I1662" t="s">
        <v>382</v>
      </c>
      <c r="J1662" t="s">
        <v>42</v>
      </c>
    </row>
    <row r="1663" spans="1:10" x14ac:dyDescent="0.25">
      <c r="A1663" t="s">
        <v>390</v>
      </c>
      <c r="C1663" s="286">
        <v>42558.963645833333</v>
      </c>
      <c r="D1663" t="s">
        <v>382</v>
      </c>
      <c r="E1663">
        <v>0</v>
      </c>
      <c r="F1663" s="287"/>
      <c r="G1663" s="287"/>
      <c r="H1663" s="287"/>
      <c r="I1663" t="s">
        <v>382</v>
      </c>
      <c r="J1663" t="s">
        <v>42</v>
      </c>
    </row>
    <row r="1664" spans="1:10" x14ac:dyDescent="0.25">
      <c r="A1664" t="s">
        <v>390</v>
      </c>
      <c r="C1664" s="286">
        <v>42559.070057870369</v>
      </c>
      <c r="D1664" t="s">
        <v>382</v>
      </c>
      <c r="E1664">
        <v>0</v>
      </c>
      <c r="F1664" s="287"/>
      <c r="G1664" s="287"/>
      <c r="H1664" s="287"/>
      <c r="I1664" t="s">
        <v>382</v>
      </c>
      <c r="J1664" t="s">
        <v>42</v>
      </c>
    </row>
    <row r="1665" spans="1:10" x14ac:dyDescent="0.25">
      <c r="A1665" t="s">
        <v>390</v>
      </c>
      <c r="C1665" s="286">
        <v>42559.538680555554</v>
      </c>
      <c r="D1665" t="s">
        <v>382</v>
      </c>
      <c r="E1665">
        <v>0</v>
      </c>
      <c r="F1665" s="287"/>
      <c r="G1665" s="287"/>
      <c r="H1665" s="287"/>
      <c r="I1665" t="s">
        <v>382</v>
      </c>
      <c r="J1665" t="s">
        <v>42</v>
      </c>
    </row>
    <row r="1666" spans="1:10" x14ac:dyDescent="0.25">
      <c r="A1666" t="s">
        <v>390</v>
      </c>
      <c r="C1666" s="286">
        <v>42559.790243055555</v>
      </c>
      <c r="D1666" t="s">
        <v>382</v>
      </c>
      <c r="E1666">
        <v>0</v>
      </c>
      <c r="F1666" s="287"/>
      <c r="G1666" s="287"/>
      <c r="H1666" s="287"/>
      <c r="I1666" t="s">
        <v>382</v>
      </c>
      <c r="J1666" t="s">
        <v>42</v>
      </c>
    </row>
    <row r="1667" spans="1:10" x14ac:dyDescent="0.25">
      <c r="A1667" t="s">
        <v>390</v>
      </c>
      <c r="C1667" s="286">
        <v>42559.85428240741</v>
      </c>
      <c r="D1667" t="s">
        <v>382</v>
      </c>
      <c r="E1667">
        <v>0</v>
      </c>
      <c r="F1667" s="287"/>
      <c r="G1667" s="287"/>
      <c r="H1667" s="287"/>
      <c r="I1667" t="s">
        <v>382</v>
      </c>
      <c r="J1667" t="s">
        <v>42</v>
      </c>
    </row>
    <row r="1668" spans="1:10" x14ac:dyDescent="0.25">
      <c r="A1668" t="s">
        <v>390</v>
      </c>
      <c r="C1668" s="286">
        <v>42559.897002314814</v>
      </c>
      <c r="D1668" t="s">
        <v>382</v>
      </c>
      <c r="E1668">
        <v>0</v>
      </c>
      <c r="F1668" s="287"/>
      <c r="G1668" s="287"/>
      <c r="H1668" s="287"/>
      <c r="I1668" t="s">
        <v>382</v>
      </c>
      <c r="J1668" t="s">
        <v>42</v>
      </c>
    </row>
    <row r="1669" spans="1:10" x14ac:dyDescent="0.25">
      <c r="A1669" t="s">
        <v>390</v>
      </c>
      <c r="C1669" s="286">
        <v>42559.998182870368</v>
      </c>
      <c r="D1669" t="s">
        <v>382</v>
      </c>
      <c r="E1669">
        <v>0</v>
      </c>
      <c r="F1669" s="287"/>
      <c r="G1669" s="287"/>
      <c r="H1669" s="287"/>
      <c r="I1669" t="s">
        <v>382</v>
      </c>
      <c r="J1669" t="s">
        <v>42</v>
      </c>
    </row>
    <row r="1670" spans="1:10" x14ac:dyDescent="0.25">
      <c r="A1670" t="s">
        <v>390</v>
      </c>
      <c r="C1670" s="286">
        <v>42560.054247685184</v>
      </c>
      <c r="D1670" t="s">
        <v>382</v>
      </c>
      <c r="E1670">
        <v>0</v>
      </c>
      <c r="F1670" s="287"/>
      <c r="G1670" s="287"/>
      <c r="H1670" s="287"/>
      <c r="I1670" t="s">
        <v>382</v>
      </c>
      <c r="J1670" t="s">
        <v>42</v>
      </c>
    </row>
    <row r="1671" spans="1:10" x14ac:dyDescent="0.25">
      <c r="A1671" t="s">
        <v>390</v>
      </c>
      <c r="C1671" s="286">
        <v>42560.542638888888</v>
      </c>
      <c r="D1671" t="s">
        <v>382</v>
      </c>
      <c r="E1671">
        <v>0</v>
      </c>
      <c r="F1671" s="287"/>
      <c r="G1671" s="287"/>
      <c r="H1671" s="287"/>
      <c r="I1671" t="s">
        <v>382</v>
      </c>
      <c r="J1671" t="s">
        <v>42</v>
      </c>
    </row>
    <row r="1672" spans="1:10" x14ac:dyDescent="0.25">
      <c r="A1672" t="s">
        <v>390</v>
      </c>
      <c r="C1672" s="286">
        <v>42560.584120370368</v>
      </c>
      <c r="D1672" t="s">
        <v>382</v>
      </c>
      <c r="E1672">
        <v>0</v>
      </c>
      <c r="F1672" s="287"/>
      <c r="G1672" s="287"/>
      <c r="H1672" s="287"/>
      <c r="I1672" t="s">
        <v>382</v>
      </c>
      <c r="J1672" t="s">
        <v>42</v>
      </c>
    </row>
    <row r="1673" spans="1:10" x14ac:dyDescent="0.25">
      <c r="A1673" t="s">
        <v>390</v>
      </c>
      <c r="C1673" s="286">
        <v>42560.635937500003</v>
      </c>
      <c r="D1673" t="s">
        <v>382</v>
      </c>
      <c r="E1673">
        <v>0</v>
      </c>
      <c r="F1673" s="287"/>
      <c r="G1673" s="287"/>
      <c r="H1673" s="287"/>
      <c r="I1673" t="s">
        <v>382</v>
      </c>
      <c r="J1673" t="s">
        <v>42</v>
      </c>
    </row>
    <row r="1674" spans="1:10" x14ac:dyDescent="0.25">
      <c r="A1674" t="s">
        <v>390</v>
      </c>
      <c r="C1674" s="286">
        <v>42560.663564814815</v>
      </c>
      <c r="D1674" t="s">
        <v>382</v>
      </c>
      <c r="E1674">
        <v>0</v>
      </c>
      <c r="F1674" s="287"/>
      <c r="G1674" s="287"/>
      <c r="H1674" s="287"/>
      <c r="I1674" t="s">
        <v>382</v>
      </c>
      <c r="J1674" t="s">
        <v>42</v>
      </c>
    </row>
    <row r="1675" spans="1:10" x14ac:dyDescent="0.25">
      <c r="A1675" t="s">
        <v>390</v>
      </c>
      <c r="C1675" s="286">
        <v>42560.774953703702</v>
      </c>
      <c r="D1675" t="s">
        <v>382</v>
      </c>
      <c r="E1675">
        <v>0</v>
      </c>
      <c r="F1675" s="287"/>
      <c r="G1675" s="287"/>
      <c r="H1675" s="287"/>
      <c r="I1675" t="s">
        <v>382</v>
      </c>
      <c r="J1675" t="s">
        <v>42</v>
      </c>
    </row>
    <row r="1676" spans="1:10" x14ac:dyDescent="0.25">
      <c r="A1676" t="s">
        <v>396</v>
      </c>
      <c r="C1676" s="286">
        <v>42560.810185185182</v>
      </c>
      <c r="D1676" t="s">
        <v>382</v>
      </c>
      <c r="E1676">
        <v>0</v>
      </c>
      <c r="F1676" s="287"/>
      <c r="G1676" s="287"/>
      <c r="H1676" s="287"/>
      <c r="I1676" t="s">
        <v>382</v>
      </c>
      <c r="J1676" t="s">
        <v>42</v>
      </c>
    </row>
    <row r="1677" spans="1:10" x14ac:dyDescent="0.25">
      <c r="A1677" t="s">
        <v>390</v>
      </c>
      <c r="C1677" s="286">
        <v>42560.815752314818</v>
      </c>
      <c r="D1677" t="s">
        <v>382</v>
      </c>
      <c r="E1677">
        <v>0</v>
      </c>
      <c r="F1677" s="287"/>
      <c r="G1677" s="287"/>
      <c r="H1677" s="287"/>
      <c r="I1677" t="s">
        <v>382</v>
      </c>
      <c r="J1677" t="s">
        <v>42</v>
      </c>
    </row>
    <row r="1678" spans="1:10" x14ac:dyDescent="0.25">
      <c r="A1678" t="s">
        <v>390</v>
      </c>
      <c r="C1678" s="286">
        <v>42560.87804398148</v>
      </c>
      <c r="D1678" t="s">
        <v>382</v>
      </c>
      <c r="E1678">
        <v>0</v>
      </c>
      <c r="F1678" s="287"/>
      <c r="G1678" s="287"/>
      <c r="H1678" s="287"/>
      <c r="I1678" t="s">
        <v>382</v>
      </c>
      <c r="J1678" t="s">
        <v>42</v>
      </c>
    </row>
    <row r="1679" spans="1:10" x14ac:dyDescent="0.25">
      <c r="A1679" t="s">
        <v>390</v>
      </c>
      <c r="C1679" s="286">
        <v>42561.060590277775</v>
      </c>
      <c r="D1679" t="s">
        <v>382</v>
      </c>
      <c r="E1679">
        <v>0</v>
      </c>
      <c r="F1679" s="287"/>
      <c r="G1679" s="287"/>
      <c r="H1679" s="287"/>
      <c r="I1679" t="s">
        <v>382</v>
      </c>
      <c r="J1679" t="s">
        <v>42</v>
      </c>
    </row>
    <row r="1680" spans="1:10" x14ac:dyDescent="0.25">
      <c r="A1680" t="s">
        <v>390</v>
      </c>
      <c r="C1680" s="286">
        <v>42561.697696759256</v>
      </c>
      <c r="D1680" t="s">
        <v>382</v>
      </c>
      <c r="E1680">
        <v>0</v>
      </c>
      <c r="F1680" s="287"/>
      <c r="G1680" s="287"/>
      <c r="H1680" s="287"/>
      <c r="I1680" t="s">
        <v>382</v>
      </c>
      <c r="J1680" t="s">
        <v>42</v>
      </c>
    </row>
    <row r="1681" spans="1:10" x14ac:dyDescent="0.25">
      <c r="A1681" t="s">
        <v>390</v>
      </c>
      <c r="C1681" s="286">
        <v>42561.967418981483</v>
      </c>
      <c r="D1681" t="s">
        <v>382</v>
      </c>
      <c r="E1681">
        <v>0</v>
      </c>
      <c r="F1681" s="287"/>
      <c r="G1681" s="287"/>
      <c r="H1681" s="287"/>
      <c r="I1681" t="s">
        <v>382</v>
      </c>
      <c r="J1681" t="s">
        <v>42</v>
      </c>
    </row>
    <row r="1682" spans="1:10" x14ac:dyDescent="0.25">
      <c r="A1682" t="s">
        <v>390</v>
      </c>
      <c r="C1682" s="286">
        <v>42561.980520833335</v>
      </c>
      <c r="D1682" t="s">
        <v>382</v>
      </c>
      <c r="E1682">
        <v>0</v>
      </c>
      <c r="F1682" s="287"/>
      <c r="G1682" s="287"/>
      <c r="H1682" s="287"/>
      <c r="I1682" t="s">
        <v>382</v>
      </c>
      <c r="J1682" t="s">
        <v>42</v>
      </c>
    </row>
    <row r="1683" spans="1:10" x14ac:dyDescent="0.25">
      <c r="A1683" t="s">
        <v>390</v>
      </c>
      <c r="C1683" s="286">
        <v>42562.54483796296</v>
      </c>
      <c r="D1683" t="s">
        <v>382</v>
      </c>
      <c r="E1683">
        <v>0</v>
      </c>
      <c r="F1683" s="287"/>
      <c r="G1683" s="287"/>
      <c r="H1683" s="287"/>
      <c r="I1683" t="s">
        <v>382</v>
      </c>
      <c r="J1683" t="s">
        <v>42</v>
      </c>
    </row>
    <row r="1684" spans="1:10" x14ac:dyDescent="0.25">
      <c r="A1684" t="s">
        <v>390</v>
      </c>
      <c r="C1684" s="286">
        <v>42562.679560185185</v>
      </c>
      <c r="D1684" t="s">
        <v>382</v>
      </c>
      <c r="E1684">
        <v>0</v>
      </c>
      <c r="F1684" s="287"/>
      <c r="G1684" s="287"/>
      <c r="H1684" s="287"/>
      <c r="I1684" t="s">
        <v>382</v>
      </c>
      <c r="J1684" t="s">
        <v>42</v>
      </c>
    </row>
    <row r="1685" spans="1:10" x14ac:dyDescent="0.25">
      <c r="A1685" t="s">
        <v>390</v>
      </c>
      <c r="C1685" s="286">
        <v>42562.780462962961</v>
      </c>
      <c r="D1685" t="s">
        <v>382</v>
      </c>
      <c r="E1685">
        <v>0</v>
      </c>
      <c r="F1685" s="287"/>
      <c r="G1685" s="287"/>
      <c r="H1685" s="287"/>
      <c r="I1685" t="s">
        <v>382</v>
      </c>
      <c r="J1685" t="s">
        <v>42</v>
      </c>
    </row>
    <row r="1686" spans="1:10" x14ac:dyDescent="0.25">
      <c r="A1686" t="s">
        <v>396</v>
      </c>
      <c r="C1686" s="286">
        <v>42562.808969907404</v>
      </c>
      <c r="D1686" t="s">
        <v>382</v>
      </c>
      <c r="E1686">
        <v>0</v>
      </c>
      <c r="F1686" s="287"/>
      <c r="G1686" s="287"/>
      <c r="H1686" s="287"/>
      <c r="I1686" t="s">
        <v>382</v>
      </c>
      <c r="J1686" t="s">
        <v>42</v>
      </c>
    </row>
    <row r="1687" spans="1:10" x14ac:dyDescent="0.25">
      <c r="A1687" t="s">
        <v>390</v>
      </c>
      <c r="C1687" s="286">
        <v>42562.856122685182</v>
      </c>
      <c r="D1687" t="s">
        <v>382</v>
      </c>
      <c r="E1687">
        <v>0</v>
      </c>
      <c r="F1687" s="287"/>
      <c r="G1687" s="287"/>
      <c r="H1687" s="287"/>
      <c r="I1687" t="s">
        <v>382</v>
      </c>
      <c r="J1687" t="s">
        <v>42</v>
      </c>
    </row>
    <row r="1688" spans="1:10" x14ac:dyDescent="0.25">
      <c r="A1688" t="s">
        <v>390</v>
      </c>
      <c r="C1688" s="286">
        <v>42562.860046296293</v>
      </c>
      <c r="D1688" t="s">
        <v>382</v>
      </c>
      <c r="E1688">
        <v>0</v>
      </c>
      <c r="F1688" s="287"/>
      <c r="G1688" s="287"/>
      <c r="H1688" s="287"/>
      <c r="I1688" t="s">
        <v>382</v>
      </c>
      <c r="J1688" t="s">
        <v>42</v>
      </c>
    </row>
    <row r="1689" spans="1:10" x14ac:dyDescent="0.25">
      <c r="A1689" t="s">
        <v>390</v>
      </c>
      <c r="C1689" s="286">
        <v>42562.879131944443</v>
      </c>
      <c r="D1689" t="s">
        <v>382</v>
      </c>
      <c r="E1689">
        <v>0</v>
      </c>
      <c r="F1689" s="287"/>
      <c r="G1689" s="287"/>
      <c r="H1689" s="287"/>
      <c r="I1689" t="s">
        <v>382</v>
      </c>
      <c r="J1689" t="s">
        <v>42</v>
      </c>
    </row>
    <row r="1690" spans="1:10" x14ac:dyDescent="0.25">
      <c r="A1690" t="s">
        <v>390</v>
      </c>
      <c r="C1690" s="286">
        <v>42562.895995370367</v>
      </c>
      <c r="D1690" t="s">
        <v>382</v>
      </c>
      <c r="E1690">
        <v>0</v>
      </c>
      <c r="F1690" s="287"/>
      <c r="G1690" s="287"/>
      <c r="H1690" s="287"/>
      <c r="I1690" t="s">
        <v>382</v>
      </c>
      <c r="J1690" t="s">
        <v>42</v>
      </c>
    </row>
    <row r="1691" spans="1:10" x14ac:dyDescent="0.25">
      <c r="A1691" t="s">
        <v>390</v>
      </c>
      <c r="C1691" s="286">
        <v>42562.905543981484</v>
      </c>
      <c r="D1691" t="s">
        <v>382</v>
      </c>
      <c r="E1691">
        <v>0</v>
      </c>
      <c r="F1691" s="287"/>
      <c r="G1691" s="287"/>
      <c r="H1691" s="287"/>
      <c r="I1691" t="s">
        <v>382</v>
      </c>
      <c r="J1691" t="s">
        <v>42</v>
      </c>
    </row>
    <row r="1692" spans="1:10" x14ac:dyDescent="0.25">
      <c r="A1692" t="s">
        <v>390</v>
      </c>
      <c r="C1692" s="286">
        <v>42562.917893518519</v>
      </c>
      <c r="D1692" t="s">
        <v>382</v>
      </c>
      <c r="E1692">
        <v>0</v>
      </c>
      <c r="F1692" s="287"/>
      <c r="G1692" s="287"/>
      <c r="H1692" s="287"/>
      <c r="I1692" t="s">
        <v>382</v>
      </c>
      <c r="J1692" t="s">
        <v>42</v>
      </c>
    </row>
    <row r="1693" spans="1:10" x14ac:dyDescent="0.25">
      <c r="A1693" t="s">
        <v>390</v>
      </c>
      <c r="C1693" s="286">
        <v>42562.990057870367</v>
      </c>
      <c r="D1693" t="s">
        <v>382</v>
      </c>
      <c r="E1693">
        <v>0</v>
      </c>
      <c r="F1693" s="287"/>
      <c r="G1693" s="287"/>
      <c r="H1693" s="287"/>
      <c r="I1693" t="s">
        <v>382</v>
      </c>
      <c r="J1693" t="s">
        <v>42</v>
      </c>
    </row>
    <row r="1694" spans="1:10" x14ac:dyDescent="0.25">
      <c r="A1694" t="s">
        <v>390</v>
      </c>
      <c r="C1694" s="286">
        <v>42562.996932870374</v>
      </c>
      <c r="D1694" t="s">
        <v>382</v>
      </c>
      <c r="E1694">
        <v>0</v>
      </c>
      <c r="F1694" s="287"/>
      <c r="G1694" s="287"/>
      <c r="H1694" s="287"/>
      <c r="I1694" t="s">
        <v>382</v>
      </c>
      <c r="J1694" t="s">
        <v>42</v>
      </c>
    </row>
    <row r="1695" spans="1:10" x14ac:dyDescent="0.25">
      <c r="A1695" t="s">
        <v>390</v>
      </c>
      <c r="C1695" s="286">
        <v>42563.048784722225</v>
      </c>
      <c r="D1695" t="s">
        <v>382</v>
      </c>
      <c r="E1695">
        <v>0</v>
      </c>
      <c r="F1695" s="287"/>
      <c r="G1695" s="287"/>
      <c r="H1695" s="287"/>
      <c r="I1695" t="s">
        <v>382</v>
      </c>
      <c r="J1695" t="s">
        <v>42</v>
      </c>
    </row>
    <row r="1696" spans="1:10" x14ac:dyDescent="0.25">
      <c r="A1696" t="s">
        <v>390</v>
      </c>
      <c r="C1696" s="286">
        <v>42563.416446759256</v>
      </c>
      <c r="D1696" t="s">
        <v>382</v>
      </c>
      <c r="E1696">
        <v>0</v>
      </c>
      <c r="F1696" s="287"/>
      <c r="G1696" s="287"/>
      <c r="H1696" s="287"/>
      <c r="I1696" t="s">
        <v>382</v>
      </c>
      <c r="J1696" t="s">
        <v>42</v>
      </c>
    </row>
    <row r="1697" spans="1:10" x14ac:dyDescent="0.25">
      <c r="A1697" t="s">
        <v>390</v>
      </c>
      <c r="C1697" s="286">
        <v>42563.470578703702</v>
      </c>
      <c r="D1697" t="s">
        <v>382</v>
      </c>
      <c r="E1697">
        <v>0</v>
      </c>
      <c r="F1697" s="287"/>
      <c r="G1697" s="287"/>
      <c r="H1697" s="287"/>
      <c r="I1697" t="s">
        <v>382</v>
      </c>
      <c r="J1697" t="s">
        <v>42</v>
      </c>
    </row>
    <row r="1698" spans="1:10" x14ac:dyDescent="0.25">
      <c r="A1698" t="s">
        <v>390</v>
      </c>
      <c r="C1698" s="286">
        <v>42563.494131944448</v>
      </c>
      <c r="D1698" t="s">
        <v>382</v>
      </c>
      <c r="E1698">
        <v>0</v>
      </c>
      <c r="F1698" s="287"/>
      <c r="G1698" s="287"/>
      <c r="H1698" s="287"/>
      <c r="I1698" t="s">
        <v>382</v>
      </c>
      <c r="J1698" t="s">
        <v>42</v>
      </c>
    </row>
    <row r="1699" spans="1:10" x14ac:dyDescent="0.25">
      <c r="A1699" t="s">
        <v>390</v>
      </c>
      <c r="C1699" s="286">
        <v>42563.564363425925</v>
      </c>
      <c r="D1699" t="s">
        <v>382</v>
      </c>
      <c r="E1699">
        <v>0</v>
      </c>
      <c r="F1699" s="287"/>
      <c r="G1699" s="287"/>
      <c r="H1699" s="287"/>
      <c r="I1699" t="s">
        <v>382</v>
      </c>
      <c r="J1699" t="s">
        <v>42</v>
      </c>
    </row>
    <row r="1700" spans="1:10" x14ac:dyDescent="0.25">
      <c r="A1700" t="s">
        <v>390</v>
      </c>
      <c r="C1700" s="286">
        <v>42563.587893518517</v>
      </c>
      <c r="D1700" t="s">
        <v>382</v>
      </c>
      <c r="E1700">
        <v>0</v>
      </c>
      <c r="F1700" s="287"/>
      <c r="G1700" s="287"/>
      <c r="H1700" s="287"/>
      <c r="I1700" t="s">
        <v>382</v>
      </c>
      <c r="J1700" t="s">
        <v>42</v>
      </c>
    </row>
    <row r="1701" spans="1:10" x14ac:dyDescent="0.25">
      <c r="A1701" t="s">
        <v>390</v>
      </c>
      <c r="C1701" s="286">
        <v>42563.640717592592</v>
      </c>
      <c r="D1701" t="s">
        <v>382</v>
      </c>
      <c r="E1701">
        <v>0</v>
      </c>
      <c r="F1701" s="287"/>
      <c r="G1701" s="287"/>
      <c r="H1701" s="287"/>
      <c r="I1701" t="s">
        <v>382</v>
      </c>
      <c r="J1701" t="s">
        <v>42</v>
      </c>
    </row>
    <row r="1702" spans="1:10" x14ac:dyDescent="0.25">
      <c r="A1702" t="s">
        <v>390</v>
      </c>
      <c r="C1702" s="286">
        <v>42563.661076388889</v>
      </c>
      <c r="D1702" t="s">
        <v>382</v>
      </c>
      <c r="E1702">
        <v>0</v>
      </c>
      <c r="F1702" s="287"/>
      <c r="G1702" s="287"/>
      <c r="H1702" s="287"/>
      <c r="I1702" t="s">
        <v>382</v>
      </c>
      <c r="J1702" t="s">
        <v>42</v>
      </c>
    </row>
    <row r="1703" spans="1:10" x14ac:dyDescent="0.25">
      <c r="A1703" t="s">
        <v>390</v>
      </c>
      <c r="C1703" s="286">
        <v>42563.727442129632</v>
      </c>
      <c r="D1703" t="s">
        <v>382</v>
      </c>
      <c r="E1703">
        <v>0</v>
      </c>
      <c r="F1703" s="287"/>
      <c r="G1703" s="287"/>
      <c r="H1703" s="287"/>
      <c r="I1703" t="s">
        <v>382</v>
      </c>
      <c r="J1703" t="s">
        <v>42</v>
      </c>
    </row>
    <row r="1704" spans="1:10" x14ac:dyDescent="0.25">
      <c r="A1704" t="s">
        <v>390</v>
      </c>
      <c r="C1704" s="286">
        <v>42563.779675925929</v>
      </c>
      <c r="D1704" t="s">
        <v>382</v>
      </c>
      <c r="E1704">
        <v>0</v>
      </c>
      <c r="F1704" s="287"/>
      <c r="G1704" s="287"/>
      <c r="H1704" s="287"/>
      <c r="I1704" t="s">
        <v>382</v>
      </c>
      <c r="J1704" t="s">
        <v>42</v>
      </c>
    </row>
    <row r="1705" spans="1:10" x14ac:dyDescent="0.25">
      <c r="A1705" t="s">
        <v>390</v>
      </c>
      <c r="C1705" s="286">
        <v>42563.79791666667</v>
      </c>
      <c r="D1705" t="s">
        <v>382</v>
      </c>
      <c r="E1705">
        <v>0</v>
      </c>
      <c r="F1705" s="287"/>
      <c r="G1705" s="287"/>
      <c r="H1705" s="287"/>
      <c r="I1705" t="s">
        <v>382</v>
      </c>
      <c r="J1705" t="s">
        <v>42</v>
      </c>
    </row>
    <row r="1706" spans="1:10" x14ac:dyDescent="0.25">
      <c r="A1706" t="s">
        <v>390</v>
      </c>
      <c r="C1706" s="286">
        <v>42563.81621527778</v>
      </c>
      <c r="D1706" t="s">
        <v>382</v>
      </c>
      <c r="E1706">
        <v>0</v>
      </c>
      <c r="F1706" s="287"/>
      <c r="G1706" s="287"/>
      <c r="H1706" s="287"/>
      <c r="I1706" t="s">
        <v>382</v>
      </c>
      <c r="J1706" t="s">
        <v>42</v>
      </c>
    </row>
    <row r="1707" spans="1:10" x14ac:dyDescent="0.25">
      <c r="A1707" t="s">
        <v>390</v>
      </c>
      <c r="C1707" s="286">
        <v>42563.911087962966</v>
      </c>
      <c r="D1707" t="s">
        <v>382</v>
      </c>
      <c r="E1707">
        <v>0</v>
      </c>
      <c r="F1707" s="287"/>
      <c r="G1707" s="287"/>
      <c r="H1707" s="287"/>
      <c r="I1707" t="s">
        <v>382</v>
      </c>
      <c r="J1707" t="s">
        <v>42</v>
      </c>
    </row>
    <row r="1708" spans="1:10" x14ac:dyDescent="0.25">
      <c r="A1708" t="s">
        <v>390</v>
      </c>
      <c r="C1708" s="286">
        <v>42563.915590277778</v>
      </c>
      <c r="D1708" t="s">
        <v>382</v>
      </c>
      <c r="E1708">
        <v>0</v>
      </c>
      <c r="F1708" s="287"/>
      <c r="G1708" s="287"/>
      <c r="H1708" s="287"/>
      <c r="I1708" t="s">
        <v>382</v>
      </c>
      <c r="J1708" t="s">
        <v>42</v>
      </c>
    </row>
    <row r="1709" spans="1:10" x14ac:dyDescent="0.25">
      <c r="A1709" t="s">
        <v>390</v>
      </c>
      <c r="C1709" s="286">
        <v>42564.006724537037</v>
      </c>
      <c r="D1709" t="s">
        <v>382</v>
      </c>
      <c r="E1709">
        <v>0</v>
      </c>
      <c r="F1709" s="287"/>
      <c r="G1709" s="287"/>
      <c r="H1709" s="287"/>
      <c r="I1709" t="s">
        <v>382</v>
      </c>
      <c r="J1709" t="s">
        <v>42</v>
      </c>
    </row>
    <row r="1710" spans="1:10" x14ac:dyDescent="0.25">
      <c r="A1710" t="s">
        <v>390</v>
      </c>
      <c r="C1710" s="286">
        <v>42564.147523148145</v>
      </c>
      <c r="D1710" t="s">
        <v>382</v>
      </c>
      <c r="E1710">
        <v>0</v>
      </c>
      <c r="F1710" s="287"/>
      <c r="G1710" s="287"/>
      <c r="H1710" s="287"/>
      <c r="I1710" t="s">
        <v>382</v>
      </c>
      <c r="J1710" t="s">
        <v>42</v>
      </c>
    </row>
    <row r="1711" spans="1:10" x14ac:dyDescent="0.25">
      <c r="A1711" t="s">
        <v>390</v>
      </c>
      <c r="C1711" s="286">
        <v>42564.513414351852</v>
      </c>
      <c r="D1711" t="s">
        <v>382</v>
      </c>
      <c r="E1711">
        <v>0</v>
      </c>
      <c r="F1711" s="287"/>
      <c r="G1711" s="287"/>
      <c r="H1711" s="287"/>
      <c r="I1711" t="s">
        <v>382</v>
      </c>
      <c r="J1711" t="s">
        <v>42</v>
      </c>
    </row>
    <row r="1712" spans="1:10" x14ac:dyDescent="0.25">
      <c r="A1712" t="s">
        <v>390</v>
      </c>
      <c r="C1712" s="286">
        <v>42564.545300925929</v>
      </c>
      <c r="D1712" t="s">
        <v>382</v>
      </c>
      <c r="E1712">
        <v>0</v>
      </c>
      <c r="F1712" s="287"/>
      <c r="G1712" s="287"/>
      <c r="H1712" s="287"/>
      <c r="I1712" t="s">
        <v>382</v>
      </c>
      <c r="J1712" t="s">
        <v>42</v>
      </c>
    </row>
    <row r="1713" spans="1:10" x14ac:dyDescent="0.25">
      <c r="A1713" t="s">
        <v>390</v>
      </c>
      <c r="C1713" s="286">
        <v>42564.61546296296</v>
      </c>
      <c r="D1713" t="s">
        <v>382</v>
      </c>
      <c r="E1713">
        <v>0</v>
      </c>
      <c r="F1713" s="287"/>
      <c r="G1713" s="287"/>
      <c r="H1713" s="287"/>
      <c r="I1713" t="s">
        <v>382</v>
      </c>
      <c r="J1713" t="s">
        <v>42</v>
      </c>
    </row>
    <row r="1714" spans="1:10" x14ac:dyDescent="0.25">
      <c r="A1714" t="s">
        <v>390</v>
      </c>
      <c r="C1714" s="286">
        <v>42564.806481481479</v>
      </c>
      <c r="D1714" t="s">
        <v>382</v>
      </c>
      <c r="E1714">
        <v>0</v>
      </c>
      <c r="F1714" s="287"/>
      <c r="G1714" s="287"/>
      <c r="H1714" s="287"/>
      <c r="I1714" t="s">
        <v>382</v>
      </c>
      <c r="J1714" t="s">
        <v>42</v>
      </c>
    </row>
    <row r="1715" spans="1:10" x14ac:dyDescent="0.25">
      <c r="A1715" t="s">
        <v>396</v>
      </c>
      <c r="C1715" s="286">
        <v>42564.822430555556</v>
      </c>
      <c r="D1715" t="s">
        <v>382</v>
      </c>
      <c r="E1715">
        <v>0</v>
      </c>
      <c r="F1715" s="287"/>
      <c r="G1715" s="287"/>
      <c r="H1715" s="287"/>
      <c r="I1715" t="s">
        <v>382</v>
      </c>
      <c r="J1715" t="s">
        <v>42</v>
      </c>
    </row>
    <row r="1716" spans="1:10" x14ac:dyDescent="0.25">
      <c r="A1716" t="s">
        <v>390</v>
      </c>
      <c r="C1716" s="286">
        <v>42564.839178240742</v>
      </c>
      <c r="D1716" t="s">
        <v>382</v>
      </c>
      <c r="E1716">
        <v>0</v>
      </c>
      <c r="F1716" s="287"/>
      <c r="G1716" s="287"/>
      <c r="H1716" s="287"/>
      <c r="I1716" t="s">
        <v>382</v>
      </c>
      <c r="J1716" t="s">
        <v>42</v>
      </c>
    </row>
    <row r="1717" spans="1:10" x14ac:dyDescent="0.25">
      <c r="A1717" t="s">
        <v>390</v>
      </c>
      <c r="C1717" s="286">
        <v>42564.893946759257</v>
      </c>
      <c r="D1717" t="s">
        <v>382</v>
      </c>
      <c r="E1717">
        <v>0</v>
      </c>
      <c r="F1717" s="287"/>
      <c r="G1717" s="287"/>
      <c r="H1717" s="287"/>
      <c r="I1717" t="s">
        <v>382</v>
      </c>
      <c r="J1717" t="s">
        <v>42</v>
      </c>
    </row>
    <row r="1718" spans="1:10" x14ac:dyDescent="0.25">
      <c r="A1718" t="s">
        <v>390</v>
      </c>
      <c r="C1718" s="286">
        <v>42564.986377314817</v>
      </c>
      <c r="D1718" t="s">
        <v>382</v>
      </c>
      <c r="E1718">
        <v>0</v>
      </c>
      <c r="F1718" s="287"/>
      <c r="G1718" s="287"/>
      <c r="H1718" s="287"/>
      <c r="I1718" t="s">
        <v>382</v>
      </c>
      <c r="J1718" t="s">
        <v>42</v>
      </c>
    </row>
    <row r="1719" spans="1:10" x14ac:dyDescent="0.25">
      <c r="A1719" t="s">
        <v>390</v>
      </c>
      <c r="C1719" s="286">
        <v>42565.015972222223</v>
      </c>
      <c r="D1719" t="s">
        <v>382</v>
      </c>
      <c r="E1719">
        <v>0</v>
      </c>
      <c r="F1719" s="287"/>
      <c r="G1719" s="287"/>
      <c r="H1719" s="287"/>
      <c r="I1719" t="s">
        <v>382</v>
      </c>
      <c r="J1719" t="s">
        <v>42</v>
      </c>
    </row>
    <row r="1720" spans="1:10" x14ac:dyDescent="0.25">
      <c r="A1720" t="s">
        <v>390</v>
      </c>
      <c r="C1720" s="286">
        <v>42565.294999999998</v>
      </c>
      <c r="D1720" t="s">
        <v>382</v>
      </c>
      <c r="E1720">
        <v>0</v>
      </c>
      <c r="F1720" s="287"/>
      <c r="G1720" s="287"/>
      <c r="H1720" s="287"/>
      <c r="I1720" t="s">
        <v>382</v>
      </c>
      <c r="J1720" t="s">
        <v>42</v>
      </c>
    </row>
    <row r="1721" spans="1:10" x14ac:dyDescent="0.25">
      <c r="A1721" t="s">
        <v>390</v>
      </c>
      <c r="C1721" s="286">
        <v>42565.627476851849</v>
      </c>
      <c r="D1721" t="s">
        <v>382</v>
      </c>
      <c r="E1721">
        <v>0</v>
      </c>
      <c r="F1721" s="287"/>
      <c r="G1721" s="287"/>
      <c r="H1721" s="287"/>
      <c r="I1721" t="s">
        <v>382</v>
      </c>
      <c r="J1721" t="s">
        <v>42</v>
      </c>
    </row>
    <row r="1722" spans="1:10" x14ac:dyDescent="0.25">
      <c r="A1722" t="s">
        <v>390</v>
      </c>
      <c r="C1722" s="286">
        <v>42565.668819444443</v>
      </c>
      <c r="D1722" t="s">
        <v>382</v>
      </c>
      <c r="E1722">
        <v>0</v>
      </c>
      <c r="F1722" s="287"/>
      <c r="G1722" s="287"/>
      <c r="H1722" s="287"/>
      <c r="I1722" t="s">
        <v>382</v>
      </c>
      <c r="J1722" t="s">
        <v>42</v>
      </c>
    </row>
    <row r="1723" spans="1:10" x14ac:dyDescent="0.25">
      <c r="A1723" t="s">
        <v>390</v>
      </c>
      <c r="C1723" s="286">
        <v>42565.693252314813</v>
      </c>
      <c r="D1723" t="s">
        <v>382</v>
      </c>
      <c r="E1723">
        <v>0</v>
      </c>
      <c r="F1723" s="287"/>
      <c r="G1723" s="287"/>
      <c r="H1723" s="287"/>
      <c r="I1723" t="s">
        <v>382</v>
      </c>
      <c r="J1723" t="s">
        <v>42</v>
      </c>
    </row>
    <row r="1724" spans="1:10" x14ac:dyDescent="0.25">
      <c r="A1724" t="s">
        <v>390</v>
      </c>
      <c r="C1724" s="286">
        <v>42565.703287037039</v>
      </c>
      <c r="D1724" t="s">
        <v>382</v>
      </c>
      <c r="E1724">
        <v>0</v>
      </c>
      <c r="F1724" s="287"/>
      <c r="G1724" s="287"/>
      <c r="H1724" s="287"/>
      <c r="I1724" t="s">
        <v>382</v>
      </c>
      <c r="J1724" t="s">
        <v>42</v>
      </c>
    </row>
    <row r="1725" spans="1:10" x14ac:dyDescent="0.25">
      <c r="A1725" t="s">
        <v>390</v>
      </c>
      <c r="C1725" s="286">
        <v>42565.816018518519</v>
      </c>
      <c r="D1725" t="s">
        <v>382</v>
      </c>
      <c r="E1725">
        <v>0</v>
      </c>
      <c r="F1725" s="287"/>
      <c r="G1725" s="287"/>
      <c r="H1725" s="287"/>
      <c r="I1725" t="s">
        <v>382</v>
      </c>
      <c r="J1725" t="s">
        <v>42</v>
      </c>
    </row>
    <row r="1726" spans="1:10" x14ac:dyDescent="0.25">
      <c r="A1726" t="s">
        <v>390</v>
      </c>
      <c r="C1726" s="286">
        <v>42565.837858796294</v>
      </c>
      <c r="D1726" t="s">
        <v>382</v>
      </c>
      <c r="E1726">
        <v>0</v>
      </c>
      <c r="F1726" s="287"/>
      <c r="G1726" s="287"/>
      <c r="H1726" s="287"/>
      <c r="I1726" t="s">
        <v>382</v>
      </c>
      <c r="J1726" t="s">
        <v>42</v>
      </c>
    </row>
    <row r="1727" spans="1:10" x14ac:dyDescent="0.25">
      <c r="A1727" t="s">
        <v>390</v>
      </c>
      <c r="C1727" s="286">
        <v>42565.83803240741</v>
      </c>
      <c r="D1727" t="s">
        <v>382</v>
      </c>
      <c r="E1727">
        <v>0</v>
      </c>
      <c r="F1727" s="287"/>
      <c r="G1727" s="287"/>
      <c r="H1727" s="287"/>
      <c r="I1727" t="s">
        <v>382</v>
      </c>
      <c r="J1727" t="s">
        <v>42</v>
      </c>
    </row>
    <row r="1728" spans="1:10" x14ac:dyDescent="0.25">
      <c r="A1728" t="s">
        <v>390</v>
      </c>
      <c r="C1728" s="286">
        <v>42565.852037037039</v>
      </c>
      <c r="D1728" t="s">
        <v>382</v>
      </c>
      <c r="E1728">
        <v>0</v>
      </c>
      <c r="F1728" s="287"/>
      <c r="G1728" s="287"/>
      <c r="H1728" s="287"/>
      <c r="I1728" t="s">
        <v>382</v>
      </c>
      <c r="J1728" t="s">
        <v>42</v>
      </c>
    </row>
    <row r="1729" spans="1:10" x14ac:dyDescent="0.25">
      <c r="A1729" t="s">
        <v>390</v>
      </c>
      <c r="C1729" s="286">
        <v>42565.960960648146</v>
      </c>
      <c r="D1729" t="s">
        <v>382</v>
      </c>
      <c r="E1729">
        <v>0</v>
      </c>
      <c r="F1729" s="287"/>
      <c r="G1729" s="287"/>
      <c r="H1729" s="287"/>
      <c r="I1729" t="s">
        <v>382</v>
      </c>
      <c r="J1729" t="s">
        <v>42</v>
      </c>
    </row>
    <row r="1730" spans="1:10" x14ac:dyDescent="0.25">
      <c r="A1730" t="s">
        <v>390</v>
      </c>
      <c r="C1730" s="286">
        <v>42565.964317129627</v>
      </c>
      <c r="D1730" t="s">
        <v>382</v>
      </c>
      <c r="E1730">
        <v>0</v>
      </c>
      <c r="F1730" s="287"/>
      <c r="G1730" s="287"/>
      <c r="H1730" s="287"/>
      <c r="I1730" t="s">
        <v>382</v>
      </c>
      <c r="J1730" t="s">
        <v>42</v>
      </c>
    </row>
    <row r="1731" spans="1:10" x14ac:dyDescent="0.25">
      <c r="A1731" t="s">
        <v>390</v>
      </c>
      <c r="C1731" s="286">
        <v>42566.44667824074</v>
      </c>
      <c r="D1731" t="s">
        <v>382</v>
      </c>
      <c r="E1731">
        <v>0</v>
      </c>
      <c r="F1731" s="287"/>
      <c r="G1731" s="287"/>
      <c r="H1731" s="287"/>
      <c r="I1731" t="s">
        <v>382</v>
      </c>
      <c r="J1731" t="s">
        <v>42</v>
      </c>
    </row>
    <row r="1732" spans="1:10" x14ac:dyDescent="0.25">
      <c r="A1732" t="s">
        <v>390</v>
      </c>
      <c r="C1732" s="286">
        <v>42566.508414351854</v>
      </c>
      <c r="D1732" t="s">
        <v>382</v>
      </c>
      <c r="E1732">
        <v>0</v>
      </c>
      <c r="F1732" s="287"/>
      <c r="G1732" s="287"/>
      <c r="H1732" s="287"/>
      <c r="I1732" t="s">
        <v>382</v>
      </c>
      <c r="J1732" t="s">
        <v>42</v>
      </c>
    </row>
    <row r="1733" spans="1:10" x14ac:dyDescent="0.25">
      <c r="A1733" t="s">
        <v>390</v>
      </c>
      <c r="C1733" s="286">
        <v>42566.625497685185</v>
      </c>
      <c r="D1733" t="s">
        <v>382</v>
      </c>
      <c r="E1733">
        <v>0</v>
      </c>
      <c r="F1733" s="287"/>
      <c r="G1733" s="287"/>
      <c r="H1733" s="287"/>
      <c r="I1733" t="s">
        <v>382</v>
      </c>
      <c r="J1733" t="s">
        <v>42</v>
      </c>
    </row>
    <row r="1734" spans="1:10" x14ac:dyDescent="0.25">
      <c r="A1734" t="s">
        <v>390</v>
      </c>
      <c r="C1734" s="286">
        <v>42566.775891203702</v>
      </c>
      <c r="D1734" t="s">
        <v>382</v>
      </c>
      <c r="E1734">
        <v>0</v>
      </c>
      <c r="F1734" s="287"/>
      <c r="G1734" s="287"/>
      <c r="H1734" s="287"/>
      <c r="I1734" t="s">
        <v>382</v>
      </c>
      <c r="J1734" t="s">
        <v>42</v>
      </c>
    </row>
    <row r="1735" spans="1:10" x14ac:dyDescent="0.25">
      <c r="A1735" t="s">
        <v>390</v>
      </c>
      <c r="C1735" s="286">
        <v>42566.792604166665</v>
      </c>
      <c r="D1735" t="s">
        <v>382</v>
      </c>
      <c r="E1735">
        <v>0</v>
      </c>
      <c r="F1735" s="287"/>
      <c r="G1735" s="287"/>
      <c r="H1735" s="287"/>
      <c r="I1735" t="s">
        <v>382</v>
      </c>
      <c r="J1735" t="s">
        <v>42</v>
      </c>
    </row>
    <row r="1736" spans="1:10" x14ac:dyDescent="0.25">
      <c r="A1736" t="s">
        <v>390</v>
      </c>
      <c r="C1736" s="286">
        <v>42566.792615740742</v>
      </c>
      <c r="D1736" t="s">
        <v>382</v>
      </c>
      <c r="E1736">
        <v>0</v>
      </c>
      <c r="F1736" s="287"/>
      <c r="G1736" s="287"/>
      <c r="H1736" s="287"/>
      <c r="I1736" t="s">
        <v>382</v>
      </c>
      <c r="J1736" t="s">
        <v>42</v>
      </c>
    </row>
    <row r="1737" spans="1:10" x14ac:dyDescent="0.25">
      <c r="A1737" t="s">
        <v>396</v>
      </c>
      <c r="C1737" s="286">
        <v>42566.828946759262</v>
      </c>
      <c r="D1737" t="s">
        <v>382</v>
      </c>
      <c r="E1737">
        <v>0</v>
      </c>
      <c r="F1737" s="287"/>
      <c r="G1737" s="287"/>
      <c r="H1737" s="287"/>
      <c r="I1737" t="s">
        <v>382</v>
      </c>
      <c r="J1737" t="s">
        <v>42</v>
      </c>
    </row>
    <row r="1738" spans="1:10" x14ac:dyDescent="0.25">
      <c r="A1738" t="s">
        <v>390</v>
      </c>
      <c r="C1738" s="286">
        <v>42567.20689814815</v>
      </c>
      <c r="D1738" t="s">
        <v>382</v>
      </c>
      <c r="E1738">
        <v>0</v>
      </c>
      <c r="F1738" s="287"/>
      <c r="G1738" s="287"/>
      <c r="H1738" s="287"/>
      <c r="I1738" t="s">
        <v>382</v>
      </c>
      <c r="J1738" t="s">
        <v>42</v>
      </c>
    </row>
    <row r="1739" spans="1:10" x14ac:dyDescent="0.25">
      <c r="A1739" t="s">
        <v>390</v>
      </c>
      <c r="C1739" s="286">
        <v>42567.290439814817</v>
      </c>
      <c r="D1739" t="s">
        <v>382</v>
      </c>
      <c r="E1739">
        <v>0</v>
      </c>
      <c r="F1739" s="287"/>
      <c r="G1739" s="287"/>
      <c r="H1739" s="287"/>
      <c r="I1739" t="s">
        <v>382</v>
      </c>
      <c r="J1739" t="s">
        <v>42</v>
      </c>
    </row>
    <row r="1740" spans="1:10" x14ac:dyDescent="0.25">
      <c r="A1740" t="s">
        <v>390</v>
      </c>
      <c r="C1740" s="286">
        <v>42567.543773148151</v>
      </c>
      <c r="D1740" t="s">
        <v>382</v>
      </c>
      <c r="E1740">
        <v>0</v>
      </c>
      <c r="F1740" s="287"/>
      <c r="G1740" s="287"/>
      <c r="H1740" s="287"/>
      <c r="I1740" t="s">
        <v>382</v>
      </c>
      <c r="J1740" t="s">
        <v>42</v>
      </c>
    </row>
    <row r="1741" spans="1:10" x14ac:dyDescent="0.25">
      <c r="A1741" t="s">
        <v>390</v>
      </c>
      <c r="C1741" s="286">
        <v>42567.585694444446</v>
      </c>
      <c r="D1741" t="s">
        <v>382</v>
      </c>
      <c r="E1741">
        <v>0</v>
      </c>
      <c r="F1741" s="287"/>
      <c r="G1741" s="287"/>
      <c r="H1741" s="287"/>
      <c r="I1741" t="s">
        <v>382</v>
      </c>
      <c r="J1741" t="s">
        <v>42</v>
      </c>
    </row>
    <row r="1742" spans="1:10" x14ac:dyDescent="0.25">
      <c r="A1742" t="s">
        <v>390</v>
      </c>
      <c r="C1742" s="286">
        <v>42567.61855324074</v>
      </c>
      <c r="D1742" t="s">
        <v>382</v>
      </c>
      <c r="E1742">
        <v>0</v>
      </c>
      <c r="F1742" s="287"/>
      <c r="G1742" s="287"/>
      <c r="H1742" s="287"/>
      <c r="I1742" t="s">
        <v>382</v>
      </c>
      <c r="J1742" t="s">
        <v>42</v>
      </c>
    </row>
    <row r="1743" spans="1:10" x14ac:dyDescent="0.25">
      <c r="A1743" t="s">
        <v>390</v>
      </c>
      <c r="C1743" s="286">
        <v>42567.625034722223</v>
      </c>
      <c r="D1743" t="s">
        <v>382</v>
      </c>
      <c r="E1743">
        <v>0</v>
      </c>
      <c r="F1743" s="287"/>
      <c r="G1743" s="287"/>
      <c r="H1743" s="287"/>
      <c r="I1743" t="s">
        <v>382</v>
      </c>
      <c r="J1743" t="s">
        <v>42</v>
      </c>
    </row>
    <row r="1744" spans="1:10" x14ac:dyDescent="0.25">
      <c r="A1744" t="s">
        <v>441</v>
      </c>
      <c r="C1744" s="286">
        <v>42567.626770833333</v>
      </c>
      <c r="D1744" t="s">
        <v>382</v>
      </c>
      <c r="E1744">
        <v>0</v>
      </c>
      <c r="F1744" s="287"/>
      <c r="G1744" s="287"/>
      <c r="H1744" s="287"/>
      <c r="I1744" t="s">
        <v>382</v>
      </c>
      <c r="J1744" t="s">
        <v>42</v>
      </c>
    </row>
    <row r="1745" spans="1:10" x14ac:dyDescent="0.25">
      <c r="A1745" t="s">
        <v>390</v>
      </c>
      <c r="C1745" s="286">
        <v>42567.680254629631</v>
      </c>
      <c r="D1745" t="s">
        <v>382</v>
      </c>
      <c r="E1745">
        <v>0</v>
      </c>
      <c r="F1745" s="287"/>
      <c r="G1745" s="287"/>
      <c r="H1745" s="287"/>
      <c r="I1745" t="s">
        <v>382</v>
      </c>
      <c r="J1745" t="s">
        <v>42</v>
      </c>
    </row>
    <row r="1746" spans="1:10" x14ac:dyDescent="0.25">
      <c r="A1746" t="s">
        <v>390</v>
      </c>
      <c r="C1746" s="286">
        <v>42567.791759259257</v>
      </c>
      <c r="D1746" t="s">
        <v>382</v>
      </c>
      <c r="E1746">
        <v>0</v>
      </c>
      <c r="F1746" s="287"/>
      <c r="G1746" s="287"/>
      <c r="H1746" s="287"/>
      <c r="I1746" t="s">
        <v>382</v>
      </c>
      <c r="J1746" t="s">
        <v>42</v>
      </c>
    </row>
    <row r="1747" spans="1:10" x14ac:dyDescent="0.25">
      <c r="A1747" t="s">
        <v>390</v>
      </c>
      <c r="C1747" s="286">
        <v>42567.828368055554</v>
      </c>
      <c r="D1747" t="s">
        <v>382</v>
      </c>
      <c r="E1747">
        <v>0</v>
      </c>
      <c r="F1747" s="287"/>
      <c r="G1747" s="287"/>
      <c r="H1747" s="287"/>
      <c r="I1747" t="s">
        <v>382</v>
      </c>
      <c r="J1747" t="s">
        <v>42</v>
      </c>
    </row>
    <row r="1748" spans="1:10" x14ac:dyDescent="0.25">
      <c r="A1748" t="s">
        <v>390</v>
      </c>
      <c r="C1748" s="286">
        <v>42567.877627314818</v>
      </c>
      <c r="D1748" t="s">
        <v>382</v>
      </c>
      <c r="E1748">
        <v>0</v>
      </c>
      <c r="F1748" s="287"/>
      <c r="G1748" s="287"/>
      <c r="H1748" s="287"/>
      <c r="I1748" t="s">
        <v>382</v>
      </c>
      <c r="J1748" t="s">
        <v>42</v>
      </c>
    </row>
    <row r="1749" spans="1:10" x14ac:dyDescent="0.25">
      <c r="A1749" t="s">
        <v>390</v>
      </c>
      <c r="C1749" s="286">
        <v>42568.023587962962</v>
      </c>
      <c r="D1749" t="s">
        <v>382</v>
      </c>
      <c r="E1749">
        <v>0</v>
      </c>
      <c r="F1749" s="287"/>
      <c r="G1749" s="287"/>
      <c r="H1749" s="287"/>
      <c r="I1749" t="s">
        <v>382</v>
      </c>
      <c r="J1749" t="s">
        <v>42</v>
      </c>
    </row>
    <row r="1750" spans="1:10" x14ac:dyDescent="0.25">
      <c r="A1750" t="s">
        <v>390</v>
      </c>
      <c r="C1750" s="286">
        <v>42568.494062500002</v>
      </c>
      <c r="D1750" t="s">
        <v>382</v>
      </c>
      <c r="E1750">
        <v>0</v>
      </c>
      <c r="F1750" s="287"/>
      <c r="G1750" s="287"/>
      <c r="H1750" s="287"/>
      <c r="I1750" t="s">
        <v>382</v>
      </c>
      <c r="J1750" t="s">
        <v>42</v>
      </c>
    </row>
    <row r="1751" spans="1:10" x14ac:dyDescent="0.25">
      <c r="A1751" t="s">
        <v>390</v>
      </c>
      <c r="C1751" s="286">
        <v>42568.538981481484</v>
      </c>
      <c r="D1751" t="s">
        <v>382</v>
      </c>
      <c r="E1751">
        <v>0</v>
      </c>
      <c r="F1751" s="287"/>
      <c r="G1751" s="287"/>
      <c r="H1751" s="287"/>
      <c r="I1751" t="s">
        <v>382</v>
      </c>
      <c r="J1751" t="s">
        <v>42</v>
      </c>
    </row>
    <row r="1752" spans="1:10" x14ac:dyDescent="0.25">
      <c r="A1752" t="s">
        <v>390</v>
      </c>
      <c r="C1752" s="286">
        <v>42568.625138888892</v>
      </c>
      <c r="D1752" t="s">
        <v>382</v>
      </c>
      <c r="E1752">
        <v>0</v>
      </c>
      <c r="F1752" s="287"/>
      <c r="G1752" s="287"/>
      <c r="H1752" s="287"/>
      <c r="I1752" t="s">
        <v>382</v>
      </c>
      <c r="J1752" t="s">
        <v>42</v>
      </c>
    </row>
    <row r="1753" spans="1:10" x14ac:dyDescent="0.25">
      <c r="A1753" t="s">
        <v>390</v>
      </c>
      <c r="C1753" s="286">
        <v>42568.708032407405</v>
      </c>
      <c r="D1753" t="s">
        <v>382</v>
      </c>
      <c r="E1753">
        <v>0</v>
      </c>
      <c r="F1753" s="287"/>
      <c r="G1753" s="287"/>
      <c r="H1753" s="287"/>
      <c r="I1753" t="s">
        <v>382</v>
      </c>
      <c r="J1753" t="s">
        <v>42</v>
      </c>
    </row>
    <row r="1754" spans="1:10" x14ac:dyDescent="0.25">
      <c r="A1754" t="s">
        <v>390</v>
      </c>
      <c r="C1754" s="286">
        <v>42568.792974537035</v>
      </c>
      <c r="D1754" t="s">
        <v>382</v>
      </c>
      <c r="E1754">
        <v>0</v>
      </c>
      <c r="F1754" s="287"/>
      <c r="G1754" s="287"/>
      <c r="H1754" s="287"/>
      <c r="I1754" t="s">
        <v>382</v>
      </c>
      <c r="J1754" t="s">
        <v>42</v>
      </c>
    </row>
    <row r="1755" spans="1:10" x14ac:dyDescent="0.25">
      <c r="A1755" t="s">
        <v>396</v>
      </c>
      <c r="C1755" s="286">
        <v>42568.797291666669</v>
      </c>
      <c r="D1755" t="s">
        <v>382</v>
      </c>
      <c r="E1755">
        <v>0</v>
      </c>
      <c r="F1755" s="287"/>
      <c r="G1755" s="287"/>
      <c r="H1755" s="287"/>
      <c r="I1755" t="s">
        <v>382</v>
      </c>
      <c r="J1755" t="s">
        <v>42</v>
      </c>
    </row>
    <row r="1756" spans="1:10" x14ac:dyDescent="0.25">
      <c r="A1756" t="s">
        <v>390</v>
      </c>
      <c r="C1756" s="286">
        <v>42568.837442129632</v>
      </c>
      <c r="D1756" t="s">
        <v>382</v>
      </c>
      <c r="E1756">
        <v>0</v>
      </c>
      <c r="F1756" s="287"/>
      <c r="G1756" s="287"/>
      <c r="H1756" s="287"/>
      <c r="I1756" t="s">
        <v>382</v>
      </c>
      <c r="J1756" t="s">
        <v>42</v>
      </c>
    </row>
    <row r="1757" spans="1:10" x14ac:dyDescent="0.25">
      <c r="A1757" t="s">
        <v>390</v>
      </c>
      <c r="C1757" s="286">
        <v>42568.896226851852</v>
      </c>
      <c r="D1757" t="s">
        <v>382</v>
      </c>
      <c r="E1757">
        <v>0</v>
      </c>
      <c r="F1757" s="287"/>
      <c r="G1757" s="287"/>
      <c r="H1757" s="287"/>
      <c r="I1757" t="s">
        <v>382</v>
      </c>
      <c r="J1757" t="s">
        <v>42</v>
      </c>
    </row>
    <row r="1758" spans="1:10" x14ac:dyDescent="0.25">
      <c r="A1758" t="s">
        <v>390</v>
      </c>
      <c r="C1758" s="286">
        <v>42568.917685185188</v>
      </c>
      <c r="D1758" t="s">
        <v>382</v>
      </c>
      <c r="E1758">
        <v>0</v>
      </c>
      <c r="F1758" s="287"/>
      <c r="G1758" s="287"/>
      <c r="H1758" s="287"/>
      <c r="I1758" t="s">
        <v>382</v>
      </c>
      <c r="J1758" t="s">
        <v>42</v>
      </c>
    </row>
    <row r="1759" spans="1:10" x14ac:dyDescent="0.25">
      <c r="A1759" t="s">
        <v>390</v>
      </c>
      <c r="C1759" s="286">
        <v>42568.944050925929</v>
      </c>
      <c r="D1759" t="s">
        <v>382</v>
      </c>
      <c r="E1759">
        <v>0</v>
      </c>
      <c r="F1759" s="287"/>
      <c r="G1759" s="287"/>
      <c r="H1759" s="287"/>
      <c r="I1759" t="s">
        <v>382</v>
      </c>
      <c r="J1759" t="s">
        <v>42</v>
      </c>
    </row>
    <row r="1760" spans="1:10" x14ac:dyDescent="0.25">
      <c r="A1760" t="s">
        <v>390</v>
      </c>
      <c r="C1760" s="286">
        <v>42569.039421296293</v>
      </c>
      <c r="D1760" t="s">
        <v>382</v>
      </c>
      <c r="E1760">
        <v>0</v>
      </c>
      <c r="F1760" s="287"/>
      <c r="G1760" s="287"/>
      <c r="H1760" s="287"/>
      <c r="I1760" t="s">
        <v>382</v>
      </c>
      <c r="J1760" t="s">
        <v>42</v>
      </c>
    </row>
    <row r="1761" spans="1:10" x14ac:dyDescent="0.25">
      <c r="A1761" t="s">
        <v>390</v>
      </c>
      <c r="C1761" s="286">
        <v>42569.429236111115</v>
      </c>
      <c r="D1761" t="s">
        <v>382</v>
      </c>
      <c r="E1761">
        <v>0</v>
      </c>
      <c r="F1761" s="287"/>
      <c r="G1761" s="287"/>
      <c r="H1761" s="287"/>
      <c r="I1761" t="s">
        <v>382</v>
      </c>
      <c r="J1761" t="s">
        <v>42</v>
      </c>
    </row>
    <row r="1762" spans="1:10" x14ac:dyDescent="0.25">
      <c r="A1762" t="s">
        <v>390</v>
      </c>
      <c r="C1762" s="286">
        <v>42569.479363425926</v>
      </c>
      <c r="D1762" t="s">
        <v>382</v>
      </c>
      <c r="E1762">
        <v>0</v>
      </c>
      <c r="F1762" s="287"/>
      <c r="G1762" s="287"/>
      <c r="H1762" s="287"/>
      <c r="I1762" t="s">
        <v>382</v>
      </c>
      <c r="J1762" t="s">
        <v>42</v>
      </c>
    </row>
    <row r="1763" spans="1:10" x14ac:dyDescent="0.25">
      <c r="A1763" t="s">
        <v>390</v>
      </c>
      <c r="C1763" s="286">
        <v>42569.479641203703</v>
      </c>
      <c r="D1763" t="s">
        <v>382</v>
      </c>
      <c r="E1763">
        <v>0</v>
      </c>
      <c r="F1763" s="287"/>
      <c r="G1763" s="287"/>
      <c r="H1763" s="287"/>
      <c r="I1763" t="s">
        <v>382</v>
      </c>
      <c r="J1763" t="s">
        <v>42</v>
      </c>
    </row>
    <row r="1764" spans="1:10" x14ac:dyDescent="0.25">
      <c r="A1764" t="s">
        <v>390</v>
      </c>
      <c r="C1764" s="286">
        <v>42569.551898148151</v>
      </c>
      <c r="D1764" t="s">
        <v>382</v>
      </c>
      <c r="E1764">
        <v>0</v>
      </c>
      <c r="F1764" s="287"/>
      <c r="G1764" s="287"/>
      <c r="H1764" s="287"/>
      <c r="I1764" t="s">
        <v>382</v>
      </c>
      <c r="J1764" t="s">
        <v>42</v>
      </c>
    </row>
    <row r="1765" spans="1:10" x14ac:dyDescent="0.25">
      <c r="A1765" t="s">
        <v>390</v>
      </c>
      <c r="C1765" s="286">
        <v>42569.625949074078</v>
      </c>
      <c r="D1765" t="s">
        <v>382</v>
      </c>
      <c r="E1765">
        <v>0</v>
      </c>
      <c r="F1765" s="287"/>
      <c r="G1765" s="287"/>
      <c r="H1765" s="287"/>
      <c r="I1765" t="s">
        <v>382</v>
      </c>
      <c r="J1765" t="s">
        <v>42</v>
      </c>
    </row>
    <row r="1766" spans="1:10" x14ac:dyDescent="0.25">
      <c r="A1766" t="s">
        <v>390</v>
      </c>
      <c r="C1766" s="286">
        <v>42569.713263888887</v>
      </c>
      <c r="D1766" t="s">
        <v>382</v>
      </c>
      <c r="E1766">
        <v>0</v>
      </c>
      <c r="F1766" s="287"/>
      <c r="G1766" s="287"/>
      <c r="H1766" s="287"/>
      <c r="I1766" t="s">
        <v>382</v>
      </c>
      <c r="J1766" t="s">
        <v>42</v>
      </c>
    </row>
    <row r="1767" spans="1:10" x14ac:dyDescent="0.25">
      <c r="A1767" t="s">
        <v>390</v>
      </c>
      <c r="C1767" s="286">
        <v>42569.772187499999</v>
      </c>
      <c r="D1767" t="s">
        <v>382</v>
      </c>
      <c r="E1767">
        <v>0</v>
      </c>
      <c r="F1767" s="287"/>
      <c r="G1767" s="287"/>
      <c r="H1767" s="287"/>
      <c r="I1767" t="s">
        <v>382</v>
      </c>
      <c r="J1767" t="s">
        <v>42</v>
      </c>
    </row>
    <row r="1768" spans="1:10" x14ac:dyDescent="0.25">
      <c r="A1768" t="s">
        <v>390</v>
      </c>
      <c r="C1768" s="286">
        <v>42569.794363425928</v>
      </c>
      <c r="D1768" t="s">
        <v>382</v>
      </c>
      <c r="E1768">
        <v>0</v>
      </c>
      <c r="F1768" s="287"/>
      <c r="G1768" s="287"/>
      <c r="H1768" s="287"/>
      <c r="I1768" t="s">
        <v>382</v>
      </c>
      <c r="J1768" t="s">
        <v>42</v>
      </c>
    </row>
    <row r="1769" spans="1:10" x14ac:dyDescent="0.25">
      <c r="A1769" t="s">
        <v>390</v>
      </c>
      <c r="C1769" s="286">
        <v>42569.821701388886</v>
      </c>
      <c r="D1769" t="s">
        <v>382</v>
      </c>
      <c r="E1769">
        <v>0</v>
      </c>
      <c r="F1769" s="287"/>
      <c r="G1769" s="287"/>
      <c r="H1769" s="287"/>
      <c r="I1769" t="s">
        <v>382</v>
      </c>
      <c r="J1769" t="s">
        <v>42</v>
      </c>
    </row>
    <row r="1770" spans="1:10" x14ac:dyDescent="0.25">
      <c r="A1770" t="s">
        <v>390</v>
      </c>
      <c r="C1770" s="286">
        <v>42570.406574074077</v>
      </c>
      <c r="D1770" t="s">
        <v>382</v>
      </c>
      <c r="E1770">
        <v>0</v>
      </c>
      <c r="F1770" s="287"/>
      <c r="G1770" s="287"/>
      <c r="H1770" s="287"/>
      <c r="I1770" t="s">
        <v>382</v>
      </c>
      <c r="J1770" t="s">
        <v>42</v>
      </c>
    </row>
    <row r="1771" spans="1:10" x14ac:dyDescent="0.25">
      <c r="A1771" t="s">
        <v>390</v>
      </c>
      <c r="C1771" s="286">
        <v>42570.567129629628</v>
      </c>
      <c r="D1771" t="s">
        <v>382</v>
      </c>
      <c r="E1771">
        <v>0</v>
      </c>
      <c r="F1771" s="287"/>
      <c r="G1771" s="287"/>
      <c r="H1771" s="287"/>
      <c r="I1771" t="s">
        <v>382</v>
      </c>
      <c r="J1771" t="s">
        <v>42</v>
      </c>
    </row>
    <row r="1772" spans="1:10" x14ac:dyDescent="0.25">
      <c r="A1772" t="s">
        <v>390</v>
      </c>
      <c r="C1772" s="286">
        <v>42570.58390046296</v>
      </c>
      <c r="D1772" t="s">
        <v>382</v>
      </c>
      <c r="E1772">
        <v>0</v>
      </c>
      <c r="F1772" s="287"/>
      <c r="G1772" s="287"/>
      <c r="H1772" s="287"/>
      <c r="I1772" t="s">
        <v>382</v>
      </c>
      <c r="J1772" t="s">
        <v>42</v>
      </c>
    </row>
    <row r="1773" spans="1:10" x14ac:dyDescent="0.25">
      <c r="A1773" t="s">
        <v>390</v>
      </c>
      <c r="C1773" s="286">
        <v>42570.62736111111</v>
      </c>
      <c r="D1773" t="s">
        <v>382</v>
      </c>
      <c r="E1773">
        <v>0</v>
      </c>
      <c r="F1773" s="287"/>
      <c r="G1773" s="287"/>
      <c r="H1773" s="287"/>
      <c r="I1773" t="s">
        <v>382</v>
      </c>
      <c r="J1773" t="s">
        <v>42</v>
      </c>
    </row>
    <row r="1774" spans="1:10" x14ac:dyDescent="0.25">
      <c r="A1774" t="s">
        <v>390</v>
      </c>
      <c r="C1774" s="286">
        <v>42570.770509259259</v>
      </c>
      <c r="D1774" t="s">
        <v>382</v>
      </c>
      <c r="E1774">
        <v>0</v>
      </c>
      <c r="F1774" s="287"/>
      <c r="G1774" s="287"/>
      <c r="H1774" s="287"/>
      <c r="I1774" t="s">
        <v>382</v>
      </c>
      <c r="J1774" t="s">
        <v>42</v>
      </c>
    </row>
    <row r="1775" spans="1:10" x14ac:dyDescent="0.25">
      <c r="A1775" t="s">
        <v>390</v>
      </c>
      <c r="C1775" s="286">
        <v>42570.780891203707</v>
      </c>
      <c r="D1775" t="s">
        <v>382</v>
      </c>
      <c r="E1775">
        <v>0</v>
      </c>
      <c r="F1775" s="287"/>
      <c r="G1775" s="287"/>
      <c r="H1775" s="287"/>
      <c r="I1775" t="s">
        <v>382</v>
      </c>
      <c r="J1775" t="s">
        <v>42</v>
      </c>
    </row>
    <row r="1776" spans="1:10" x14ac:dyDescent="0.25">
      <c r="A1776" t="s">
        <v>390</v>
      </c>
      <c r="C1776" s="286">
        <v>42570.815613425926</v>
      </c>
      <c r="D1776" t="s">
        <v>382</v>
      </c>
      <c r="E1776">
        <v>0</v>
      </c>
      <c r="F1776" s="287"/>
      <c r="G1776" s="287"/>
      <c r="H1776" s="287"/>
      <c r="I1776" t="s">
        <v>382</v>
      </c>
      <c r="J1776" t="s">
        <v>42</v>
      </c>
    </row>
    <row r="1777" spans="1:10" x14ac:dyDescent="0.25">
      <c r="A1777" t="s">
        <v>396</v>
      </c>
      <c r="C1777" s="286">
        <v>42570.829710648148</v>
      </c>
      <c r="D1777" t="s">
        <v>382</v>
      </c>
      <c r="E1777">
        <v>0</v>
      </c>
      <c r="F1777" s="287"/>
      <c r="G1777" s="287"/>
      <c r="H1777" s="287"/>
      <c r="I1777" t="s">
        <v>382</v>
      </c>
      <c r="J1777" t="s">
        <v>42</v>
      </c>
    </row>
    <row r="1778" spans="1:10" x14ac:dyDescent="0.25">
      <c r="A1778" t="s">
        <v>390</v>
      </c>
      <c r="C1778" s="286">
        <v>42570.831400462965</v>
      </c>
      <c r="D1778" t="s">
        <v>382</v>
      </c>
      <c r="E1778">
        <v>0</v>
      </c>
      <c r="F1778" s="287"/>
      <c r="G1778" s="287"/>
      <c r="H1778" s="287"/>
      <c r="I1778" t="s">
        <v>382</v>
      </c>
      <c r="J1778" t="s">
        <v>42</v>
      </c>
    </row>
    <row r="1779" spans="1:10" x14ac:dyDescent="0.25">
      <c r="A1779" t="s">
        <v>390</v>
      </c>
      <c r="C1779" s="286">
        <v>42570.87699074074</v>
      </c>
      <c r="D1779" t="s">
        <v>382</v>
      </c>
      <c r="E1779">
        <v>0</v>
      </c>
      <c r="F1779" s="287"/>
      <c r="G1779" s="287"/>
      <c r="H1779" s="287"/>
      <c r="I1779" t="s">
        <v>382</v>
      </c>
      <c r="J1779" t="s">
        <v>42</v>
      </c>
    </row>
    <row r="1780" spans="1:10" x14ac:dyDescent="0.25">
      <c r="A1780" t="s">
        <v>390</v>
      </c>
      <c r="C1780" s="286">
        <v>42571.007418981484</v>
      </c>
      <c r="D1780" t="s">
        <v>382</v>
      </c>
      <c r="E1780">
        <v>0</v>
      </c>
      <c r="F1780" s="287"/>
      <c r="G1780" s="287"/>
      <c r="H1780" s="287"/>
      <c r="I1780" t="s">
        <v>382</v>
      </c>
      <c r="J1780" t="s">
        <v>42</v>
      </c>
    </row>
    <row r="1781" spans="1:10" x14ac:dyDescent="0.25">
      <c r="A1781" t="s">
        <v>390</v>
      </c>
      <c r="C1781" s="286">
        <v>42571.488738425927</v>
      </c>
      <c r="D1781" t="s">
        <v>382</v>
      </c>
      <c r="E1781">
        <v>0</v>
      </c>
      <c r="F1781" s="287"/>
      <c r="G1781" s="287"/>
      <c r="H1781" s="287"/>
      <c r="I1781" t="s">
        <v>382</v>
      </c>
      <c r="J1781" t="s">
        <v>42</v>
      </c>
    </row>
    <row r="1782" spans="1:10" x14ac:dyDescent="0.25">
      <c r="A1782" t="s">
        <v>390</v>
      </c>
      <c r="C1782" s="286">
        <v>42571.610092592593</v>
      </c>
      <c r="D1782" t="s">
        <v>382</v>
      </c>
      <c r="E1782">
        <v>0</v>
      </c>
      <c r="F1782" s="287"/>
      <c r="G1782" s="287"/>
      <c r="H1782" s="287"/>
      <c r="I1782" t="s">
        <v>382</v>
      </c>
      <c r="J1782" t="s">
        <v>42</v>
      </c>
    </row>
    <row r="1783" spans="1:10" x14ac:dyDescent="0.25">
      <c r="A1783" t="s">
        <v>390</v>
      </c>
      <c r="C1783" s="286">
        <v>42571.616516203707</v>
      </c>
      <c r="D1783" t="s">
        <v>382</v>
      </c>
      <c r="E1783">
        <v>0</v>
      </c>
      <c r="F1783" s="287"/>
      <c r="G1783" s="287"/>
      <c r="H1783" s="287"/>
      <c r="I1783" t="s">
        <v>382</v>
      </c>
      <c r="J1783" t="s">
        <v>42</v>
      </c>
    </row>
    <row r="1784" spans="1:10" x14ac:dyDescent="0.25">
      <c r="A1784" t="s">
        <v>390</v>
      </c>
      <c r="C1784" s="286">
        <v>42571.632662037038</v>
      </c>
      <c r="D1784" t="s">
        <v>382</v>
      </c>
      <c r="E1784">
        <v>0</v>
      </c>
      <c r="F1784" s="287"/>
      <c r="G1784" s="287"/>
      <c r="H1784" s="287"/>
      <c r="I1784" t="s">
        <v>382</v>
      </c>
      <c r="J1784" t="s">
        <v>42</v>
      </c>
    </row>
    <row r="1785" spans="1:10" x14ac:dyDescent="0.25">
      <c r="A1785" t="s">
        <v>390</v>
      </c>
      <c r="C1785" s="286">
        <v>42571.633055555554</v>
      </c>
      <c r="D1785" t="s">
        <v>382</v>
      </c>
      <c r="E1785">
        <v>0</v>
      </c>
      <c r="F1785" s="287"/>
      <c r="G1785" s="287"/>
      <c r="H1785" s="287"/>
      <c r="I1785" t="s">
        <v>382</v>
      </c>
      <c r="J1785" t="s">
        <v>42</v>
      </c>
    </row>
    <row r="1786" spans="1:10" x14ac:dyDescent="0.25">
      <c r="A1786" t="s">
        <v>390</v>
      </c>
      <c r="C1786" s="286">
        <v>42571.660590277781</v>
      </c>
      <c r="D1786" t="s">
        <v>382</v>
      </c>
      <c r="E1786">
        <v>0</v>
      </c>
      <c r="F1786" s="287"/>
      <c r="G1786" s="287"/>
      <c r="H1786" s="287"/>
      <c r="I1786" t="s">
        <v>382</v>
      </c>
      <c r="J1786" t="s">
        <v>42</v>
      </c>
    </row>
    <row r="1787" spans="1:10" x14ac:dyDescent="0.25">
      <c r="A1787" t="s">
        <v>390</v>
      </c>
      <c r="C1787" s="286">
        <v>42571.691145833334</v>
      </c>
      <c r="D1787" t="s">
        <v>382</v>
      </c>
      <c r="E1787">
        <v>0</v>
      </c>
      <c r="F1787" s="287"/>
      <c r="G1787" s="287"/>
      <c r="H1787" s="287"/>
      <c r="I1787" t="s">
        <v>382</v>
      </c>
      <c r="J1787" t="s">
        <v>42</v>
      </c>
    </row>
    <row r="1788" spans="1:10" x14ac:dyDescent="0.25">
      <c r="A1788" t="s">
        <v>390</v>
      </c>
      <c r="C1788" s="286">
        <v>42571.754675925928</v>
      </c>
      <c r="D1788" t="s">
        <v>382</v>
      </c>
      <c r="E1788">
        <v>0</v>
      </c>
      <c r="F1788" s="287"/>
      <c r="G1788" s="287"/>
      <c r="H1788" s="287"/>
      <c r="I1788" t="s">
        <v>382</v>
      </c>
      <c r="J1788" t="s">
        <v>42</v>
      </c>
    </row>
    <row r="1789" spans="1:10" x14ac:dyDescent="0.25">
      <c r="A1789" t="s">
        <v>390</v>
      </c>
      <c r="C1789" s="286">
        <v>42571.788912037038</v>
      </c>
      <c r="D1789" t="s">
        <v>382</v>
      </c>
      <c r="E1789">
        <v>0</v>
      </c>
      <c r="F1789" s="287"/>
      <c r="G1789" s="287"/>
      <c r="H1789" s="287"/>
      <c r="I1789" t="s">
        <v>382</v>
      </c>
      <c r="J1789" t="s">
        <v>42</v>
      </c>
    </row>
    <row r="1790" spans="1:10" x14ac:dyDescent="0.25">
      <c r="A1790" t="s">
        <v>390</v>
      </c>
      <c r="C1790" s="286">
        <v>42571.790902777779</v>
      </c>
      <c r="D1790" t="s">
        <v>382</v>
      </c>
      <c r="E1790">
        <v>0</v>
      </c>
      <c r="F1790" s="287"/>
      <c r="G1790" s="287"/>
      <c r="H1790" s="287"/>
      <c r="I1790" t="s">
        <v>382</v>
      </c>
      <c r="J1790" t="s">
        <v>42</v>
      </c>
    </row>
    <row r="1791" spans="1:10" x14ac:dyDescent="0.25">
      <c r="A1791" t="s">
        <v>390</v>
      </c>
      <c r="C1791" s="286">
        <v>42571.807152777779</v>
      </c>
      <c r="D1791" t="s">
        <v>382</v>
      </c>
      <c r="E1791">
        <v>0</v>
      </c>
      <c r="F1791" s="287"/>
      <c r="G1791" s="287"/>
      <c r="H1791" s="287"/>
      <c r="I1791" t="s">
        <v>382</v>
      </c>
      <c r="J1791" t="s">
        <v>42</v>
      </c>
    </row>
    <row r="1792" spans="1:10" x14ac:dyDescent="0.25">
      <c r="A1792" t="s">
        <v>390</v>
      </c>
      <c r="C1792" s="286">
        <v>42571.856388888889</v>
      </c>
      <c r="D1792" t="s">
        <v>382</v>
      </c>
      <c r="E1792">
        <v>0</v>
      </c>
      <c r="F1792" s="287"/>
      <c r="G1792" s="287"/>
      <c r="H1792" s="287"/>
      <c r="I1792" t="s">
        <v>382</v>
      </c>
      <c r="J1792" t="s">
        <v>42</v>
      </c>
    </row>
    <row r="1793" spans="1:10" x14ac:dyDescent="0.25">
      <c r="A1793" t="s">
        <v>390</v>
      </c>
      <c r="C1793" s="286">
        <v>42571.896041666667</v>
      </c>
      <c r="D1793" t="s">
        <v>382</v>
      </c>
      <c r="E1793">
        <v>0</v>
      </c>
      <c r="F1793" s="287"/>
      <c r="G1793" s="287"/>
      <c r="H1793" s="287"/>
      <c r="I1793" t="s">
        <v>382</v>
      </c>
      <c r="J1793" t="s">
        <v>42</v>
      </c>
    </row>
    <row r="1794" spans="1:10" x14ac:dyDescent="0.25">
      <c r="A1794" t="s">
        <v>390</v>
      </c>
      <c r="C1794" s="286">
        <v>42572.52679398148</v>
      </c>
      <c r="D1794" t="s">
        <v>382</v>
      </c>
      <c r="E1794">
        <v>0</v>
      </c>
      <c r="F1794" s="287"/>
      <c r="G1794" s="287"/>
      <c r="H1794" s="287"/>
      <c r="I1794" t="s">
        <v>382</v>
      </c>
      <c r="J1794" t="s">
        <v>42</v>
      </c>
    </row>
    <row r="1795" spans="1:10" x14ac:dyDescent="0.25">
      <c r="A1795" t="s">
        <v>390</v>
      </c>
      <c r="C1795" s="286">
        <v>42572.627233796295</v>
      </c>
      <c r="D1795" t="s">
        <v>382</v>
      </c>
      <c r="E1795">
        <v>0</v>
      </c>
      <c r="F1795" s="287"/>
      <c r="G1795" s="287"/>
      <c r="H1795" s="287"/>
      <c r="I1795" t="s">
        <v>382</v>
      </c>
      <c r="J1795" t="s">
        <v>42</v>
      </c>
    </row>
    <row r="1796" spans="1:10" x14ac:dyDescent="0.25">
      <c r="A1796" t="s">
        <v>390</v>
      </c>
      <c r="C1796" s="286">
        <v>42572.655914351853</v>
      </c>
      <c r="D1796" t="s">
        <v>382</v>
      </c>
      <c r="E1796">
        <v>0</v>
      </c>
      <c r="F1796" s="287"/>
      <c r="G1796" s="287"/>
      <c r="H1796" s="287"/>
      <c r="I1796" t="s">
        <v>382</v>
      </c>
      <c r="J1796" t="s">
        <v>42</v>
      </c>
    </row>
    <row r="1797" spans="1:10" x14ac:dyDescent="0.25">
      <c r="A1797" t="s">
        <v>390</v>
      </c>
      <c r="C1797" s="286">
        <v>42572.664120370369</v>
      </c>
      <c r="D1797" t="s">
        <v>382</v>
      </c>
      <c r="E1797">
        <v>0</v>
      </c>
      <c r="F1797" s="287"/>
      <c r="G1797" s="287"/>
      <c r="H1797" s="287"/>
      <c r="I1797" t="s">
        <v>382</v>
      </c>
      <c r="J1797" t="s">
        <v>42</v>
      </c>
    </row>
    <row r="1798" spans="1:10" x14ac:dyDescent="0.25">
      <c r="A1798" t="s">
        <v>390</v>
      </c>
      <c r="C1798" s="286">
        <v>42572.776180555556</v>
      </c>
      <c r="D1798" t="s">
        <v>382</v>
      </c>
      <c r="E1798">
        <v>0</v>
      </c>
      <c r="F1798" s="287"/>
      <c r="G1798" s="287"/>
      <c r="H1798" s="287"/>
      <c r="I1798" t="s">
        <v>382</v>
      </c>
      <c r="J1798" t="s">
        <v>42</v>
      </c>
    </row>
    <row r="1799" spans="1:10" x14ac:dyDescent="0.25">
      <c r="A1799" t="s">
        <v>390</v>
      </c>
      <c r="C1799" s="286">
        <v>42572.794814814813</v>
      </c>
      <c r="D1799" t="s">
        <v>382</v>
      </c>
      <c r="E1799">
        <v>0</v>
      </c>
      <c r="F1799" s="287"/>
      <c r="G1799" s="287"/>
      <c r="H1799" s="287"/>
      <c r="I1799" t="s">
        <v>382</v>
      </c>
      <c r="J1799" t="s">
        <v>42</v>
      </c>
    </row>
    <row r="1800" spans="1:10" x14ac:dyDescent="0.25">
      <c r="A1800" t="s">
        <v>390</v>
      </c>
      <c r="C1800" s="286">
        <v>42572.820775462962</v>
      </c>
      <c r="D1800" t="s">
        <v>382</v>
      </c>
      <c r="E1800">
        <v>0</v>
      </c>
      <c r="F1800" s="287"/>
      <c r="G1800" s="287"/>
      <c r="H1800" s="287"/>
      <c r="I1800" t="s">
        <v>382</v>
      </c>
      <c r="J1800" t="s">
        <v>42</v>
      </c>
    </row>
    <row r="1801" spans="1:10" x14ac:dyDescent="0.25">
      <c r="A1801" t="s">
        <v>396</v>
      </c>
      <c r="C1801" s="286">
        <v>42572.852488425924</v>
      </c>
      <c r="D1801" t="s">
        <v>382</v>
      </c>
      <c r="E1801">
        <v>0</v>
      </c>
      <c r="F1801" s="287"/>
      <c r="G1801" s="287"/>
      <c r="H1801" s="287"/>
      <c r="I1801" t="s">
        <v>382</v>
      </c>
      <c r="J1801" t="s">
        <v>42</v>
      </c>
    </row>
    <row r="1802" spans="1:10" x14ac:dyDescent="0.25">
      <c r="A1802" t="s">
        <v>390</v>
      </c>
      <c r="C1802" s="286">
        <v>42572.90388888889</v>
      </c>
      <c r="D1802" t="s">
        <v>382</v>
      </c>
      <c r="E1802">
        <v>0</v>
      </c>
      <c r="F1802" s="287"/>
      <c r="G1802" s="287"/>
      <c r="H1802" s="287"/>
      <c r="I1802" t="s">
        <v>382</v>
      </c>
      <c r="J1802" t="s">
        <v>42</v>
      </c>
    </row>
    <row r="1803" spans="1:10" x14ac:dyDescent="0.25">
      <c r="A1803" t="s">
        <v>390</v>
      </c>
      <c r="C1803" s="286">
        <v>42572.942499999997</v>
      </c>
      <c r="D1803" t="s">
        <v>382</v>
      </c>
      <c r="E1803">
        <v>0</v>
      </c>
      <c r="F1803" s="287"/>
      <c r="G1803" s="287"/>
      <c r="H1803" s="287"/>
      <c r="I1803" t="s">
        <v>382</v>
      </c>
      <c r="J1803" t="s">
        <v>42</v>
      </c>
    </row>
    <row r="1804" spans="1:10" x14ac:dyDescent="0.25">
      <c r="A1804" t="s">
        <v>390</v>
      </c>
      <c r="C1804" s="286">
        <v>42573.017893518518</v>
      </c>
      <c r="D1804" t="s">
        <v>382</v>
      </c>
      <c r="E1804">
        <v>0</v>
      </c>
      <c r="F1804" s="287"/>
      <c r="G1804" s="287"/>
      <c r="H1804" s="287"/>
      <c r="I1804" t="s">
        <v>382</v>
      </c>
      <c r="J1804" t="s">
        <v>42</v>
      </c>
    </row>
    <row r="1805" spans="1:10" x14ac:dyDescent="0.25">
      <c r="A1805" t="s">
        <v>390</v>
      </c>
      <c r="C1805" s="286">
        <v>42573.430879629632</v>
      </c>
      <c r="D1805" t="s">
        <v>382</v>
      </c>
      <c r="E1805">
        <v>0</v>
      </c>
      <c r="F1805" s="287"/>
      <c r="G1805" s="287"/>
      <c r="H1805" s="287"/>
      <c r="I1805" t="s">
        <v>382</v>
      </c>
      <c r="J1805" t="s">
        <v>42</v>
      </c>
    </row>
    <row r="1806" spans="1:10" x14ac:dyDescent="0.25">
      <c r="A1806" t="s">
        <v>390</v>
      </c>
      <c r="C1806" s="286">
        <v>42573.546377314815</v>
      </c>
      <c r="D1806" t="s">
        <v>382</v>
      </c>
      <c r="E1806">
        <v>0</v>
      </c>
      <c r="F1806" s="287"/>
      <c r="G1806" s="287"/>
      <c r="H1806" s="287"/>
      <c r="I1806" t="s">
        <v>382</v>
      </c>
      <c r="J1806" t="s">
        <v>42</v>
      </c>
    </row>
    <row r="1807" spans="1:10" x14ac:dyDescent="0.25">
      <c r="A1807" t="s">
        <v>390</v>
      </c>
      <c r="C1807" s="286">
        <v>42573.566319444442</v>
      </c>
      <c r="D1807" t="s">
        <v>382</v>
      </c>
      <c r="E1807">
        <v>0</v>
      </c>
      <c r="F1807" s="287"/>
      <c r="G1807" s="287"/>
      <c r="H1807" s="287"/>
      <c r="I1807" t="s">
        <v>382</v>
      </c>
      <c r="J1807" t="s">
        <v>42</v>
      </c>
    </row>
    <row r="1808" spans="1:10" x14ac:dyDescent="0.25">
      <c r="A1808" t="s">
        <v>390</v>
      </c>
      <c r="C1808" s="286">
        <v>42573.581238425926</v>
      </c>
      <c r="D1808" t="s">
        <v>382</v>
      </c>
      <c r="E1808">
        <v>0</v>
      </c>
      <c r="F1808" s="287"/>
      <c r="G1808" s="287"/>
      <c r="H1808" s="287"/>
      <c r="I1808" t="s">
        <v>382</v>
      </c>
      <c r="J1808" t="s">
        <v>42</v>
      </c>
    </row>
    <row r="1809" spans="1:10" x14ac:dyDescent="0.25">
      <c r="A1809" t="s">
        <v>390</v>
      </c>
      <c r="C1809" s="286">
        <v>42573.581678240742</v>
      </c>
      <c r="D1809" t="s">
        <v>382</v>
      </c>
      <c r="E1809">
        <v>0</v>
      </c>
      <c r="F1809" s="287"/>
      <c r="G1809" s="287"/>
      <c r="H1809" s="287"/>
      <c r="I1809" t="s">
        <v>382</v>
      </c>
      <c r="J1809" t="s">
        <v>42</v>
      </c>
    </row>
    <row r="1810" spans="1:10" x14ac:dyDescent="0.25">
      <c r="A1810" t="s">
        <v>390</v>
      </c>
      <c r="C1810" s="286">
        <v>42573.626620370371</v>
      </c>
      <c r="D1810" t="s">
        <v>382</v>
      </c>
      <c r="E1810">
        <v>0</v>
      </c>
      <c r="F1810" s="287"/>
      <c r="G1810" s="287"/>
      <c r="H1810" s="287"/>
      <c r="I1810" t="s">
        <v>382</v>
      </c>
      <c r="J1810" t="s">
        <v>42</v>
      </c>
    </row>
    <row r="1811" spans="1:10" x14ac:dyDescent="0.25">
      <c r="A1811" t="s">
        <v>390</v>
      </c>
      <c r="C1811" s="286">
        <v>42573.810543981483</v>
      </c>
      <c r="D1811" t="s">
        <v>382</v>
      </c>
      <c r="E1811">
        <v>0</v>
      </c>
      <c r="F1811" s="287"/>
      <c r="G1811" s="287"/>
      <c r="H1811" s="287"/>
      <c r="I1811" t="s">
        <v>382</v>
      </c>
      <c r="J1811" t="s">
        <v>42</v>
      </c>
    </row>
    <row r="1812" spans="1:10" x14ac:dyDescent="0.25">
      <c r="A1812" t="s">
        <v>396</v>
      </c>
      <c r="C1812" s="286">
        <v>42573.826678240737</v>
      </c>
      <c r="D1812" t="s">
        <v>382</v>
      </c>
      <c r="E1812">
        <v>0</v>
      </c>
      <c r="F1812" s="287"/>
      <c r="G1812" s="287"/>
      <c r="H1812" s="287"/>
      <c r="I1812" t="s">
        <v>382</v>
      </c>
      <c r="J1812" t="s">
        <v>42</v>
      </c>
    </row>
    <row r="1813" spans="1:10" x14ac:dyDescent="0.25">
      <c r="A1813" t="s">
        <v>390</v>
      </c>
      <c r="C1813" s="286">
        <v>42573.864351851851</v>
      </c>
      <c r="D1813" t="s">
        <v>382</v>
      </c>
      <c r="E1813">
        <v>0</v>
      </c>
      <c r="F1813" s="287"/>
      <c r="G1813" s="287"/>
      <c r="H1813" s="287"/>
      <c r="I1813" t="s">
        <v>382</v>
      </c>
      <c r="J1813" t="s">
        <v>42</v>
      </c>
    </row>
    <row r="1814" spans="1:10" x14ac:dyDescent="0.25">
      <c r="A1814" t="s">
        <v>390</v>
      </c>
      <c r="C1814" s="286">
        <v>42574.159618055557</v>
      </c>
      <c r="D1814" t="s">
        <v>382</v>
      </c>
      <c r="E1814">
        <v>0</v>
      </c>
      <c r="F1814" s="287"/>
      <c r="G1814" s="287"/>
      <c r="H1814" s="287"/>
      <c r="I1814" t="s">
        <v>382</v>
      </c>
      <c r="J1814" t="s">
        <v>42</v>
      </c>
    </row>
    <row r="1815" spans="1:10" x14ac:dyDescent="0.25">
      <c r="A1815" t="s">
        <v>442</v>
      </c>
      <c r="C1815" s="286">
        <v>42574.410844907405</v>
      </c>
      <c r="D1815" t="s">
        <v>382</v>
      </c>
      <c r="E1815">
        <v>0</v>
      </c>
      <c r="F1815" s="287"/>
      <c r="G1815" s="287"/>
      <c r="H1815" s="287"/>
      <c r="I1815" t="s">
        <v>382</v>
      </c>
      <c r="J1815" t="s">
        <v>42</v>
      </c>
    </row>
    <row r="1816" spans="1:10" x14ac:dyDescent="0.25">
      <c r="A1816" t="s">
        <v>390</v>
      </c>
      <c r="C1816" s="286">
        <v>42574.473634259259</v>
      </c>
      <c r="D1816" t="s">
        <v>382</v>
      </c>
      <c r="E1816">
        <v>0</v>
      </c>
      <c r="F1816" s="287"/>
      <c r="G1816" s="287"/>
      <c r="H1816" s="287"/>
      <c r="I1816" t="s">
        <v>382</v>
      </c>
      <c r="J1816" t="s">
        <v>42</v>
      </c>
    </row>
    <row r="1817" spans="1:10" x14ac:dyDescent="0.25">
      <c r="A1817" t="s">
        <v>390</v>
      </c>
      <c r="C1817" s="286">
        <v>42574.483657407407</v>
      </c>
      <c r="D1817" t="s">
        <v>382</v>
      </c>
      <c r="E1817">
        <v>0</v>
      </c>
      <c r="F1817" s="287"/>
      <c r="G1817" s="287"/>
      <c r="H1817" s="287"/>
      <c r="I1817" t="s">
        <v>382</v>
      </c>
      <c r="J1817" t="s">
        <v>42</v>
      </c>
    </row>
    <row r="1818" spans="1:10" x14ac:dyDescent="0.25">
      <c r="A1818" t="s">
        <v>390</v>
      </c>
      <c r="C1818" s="286">
        <v>42574.503784722219</v>
      </c>
      <c r="D1818" t="s">
        <v>382</v>
      </c>
      <c r="E1818">
        <v>0</v>
      </c>
      <c r="F1818" s="287"/>
      <c r="G1818" s="287"/>
      <c r="H1818" s="287"/>
      <c r="I1818" t="s">
        <v>382</v>
      </c>
      <c r="J1818" t="s">
        <v>42</v>
      </c>
    </row>
    <row r="1819" spans="1:10" x14ac:dyDescent="0.25">
      <c r="A1819" t="s">
        <v>390</v>
      </c>
      <c r="C1819" s="286">
        <v>42574.518888888888</v>
      </c>
      <c r="D1819" t="s">
        <v>382</v>
      </c>
      <c r="E1819">
        <v>0</v>
      </c>
      <c r="F1819" s="287"/>
      <c r="G1819" s="287"/>
      <c r="H1819" s="287"/>
      <c r="I1819" t="s">
        <v>382</v>
      </c>
      <c r="J1819" t="s">
        <v>42</v>
      </c>
    </row>
    <row r="1820" spans="1:10" x14ac:dyDescent="0.25">
      <c r="A1820" t="s">
        <v>390</v>
      </c>
      <c r="C1820" s="286">
        <v>42574.626574074071</v>
      </c>
      <c r="D1820" t="s">
        <v>382</v>
      </c>
      <c r="E1820">
        <v>0</v>
      </c>
      <c r="F1820" s="287"/>
      <c r="G1820" s="287"/>
      <c r="H1820" s="287"/>
      <c r="I1820" t="s">
        <v>382</v>
      </c>
      <c r="J1820" t="s">
        <v>42</v>
      </c>
    </row>
    <row r="1821" spans="1:10" x14ac:dyDescent="0.25">
      <c r="A1821" t="s">
        <v>390</v>
      </c>
      <c r="C1821" s="286">
        <v>42574.669085648151</v>
      </c>
      <c r="D1821" t="s">
        <v>382</v>
      </c>
      <c r="E1821">
        <v>0</v>
      </c>
      <c r="F1821" s="287"/>
      <c r="G1821" s="287"/>
      <c r="H1821" s="287"/>
      <c r="I1821" t="s">
        <v>382</v>
      </c>
      <c r="J1821" t="s">
        <v>42</v>
      </c>
    </row>
    <row r="1822" spans="1:10" x14ac:dyDescent="0.25">
      <c r="A1822" t="s">
        <v>390</v>
      </c>
      <c r="C1822" s="286">
        <v>42574.674930555557</v>
      </c>
      <c r="D1822" t="s">
        <v>382</v>
      </c>
      <c r="E1822">
        <v>0</v>
      </c>
      <c r="F1822" s="287"/>
      <c r="G1822" s="287"/>
      <c r="H1822" s="287"/>
      <c r="I1822" t="s">
        <v>382</v>
      </c>
      <c r="J1822" t="s">
        <v>42</v>
      </c>
    </row>
    <row r="1823" spans="1:10" x14ac:dyDescent="0.25">
      <c r="A1823" t="s">
        <v>390</v>
      </c>
      <c r="C1823" s="286">
        <v>42574.725949074076</v>
      </c>
      <c r="D1823" t="s">
        <v>382</v>
      </c>
      <c r="E1823">
        <v>0</v>
      </c>
      <c r="F1823" s="287"/>
      <c r="G1823" s="287"/>
      <c r="H1823" s="287"/>
      <c r="I1823" t="s">
        <v>382</v>
      </c>
      <c r="J1823" t="s">
        <v>42</v>
      </c>
    </row>
    <row r="1824" spans="1:10" x14ac:dyDescent="0.25">
      <c r="A1824" t="s">
        <v>390</v>
      </c>
      <c r="C1824" s="286">
        <v>42574.766562500001</v>
      </c>
      <c r="D1824" t="s">
        <v>382</v>
      </c>
      <c r="E1824">
        <v>0</v>
      </c>
      <c r="F1824" s="287"/>
      <c r="G1824" s="287"/>
      <c r="H1824" s="287"/>
      <c r="I1824" t="s">
        <v>382</v>
      </c>
      <c r="J1824" t="s">
        <v>42</v>
      </c>
    </row>
    <row r="1825" spans="1:10" x14ac:dyDescent="0.25">
      <c r="A1825" t="s">
        <v>390</v>
      </c>
      <c r="C1825" s="286">
        <v>42574.770949074074</v>
      </c>
      <c r="D1825" t="s">
        <v>382</v>
      </c>
      <c r="E1825">
        <v>0</v>
      </c>
      <c r="F1825" s="287"/>
      <c r="G1825" s="287"/>
      <c r="H1825" s="287"/>
      <c r="I1825" t="s">
        <v>382</v>
      </c>
      <c r="J1825" t="s">
        <v>42</v>
      </c>
    </row>
    <row r="1826" spans="1:10" x14ac:dyDescent="0.25">
      <c r="A1826" t="s">
        <v>396</v>
      </c>
      <c r="C1826" s="286">
        <v>42574.815451388888</v>
      </c>
      <c r="D1826" t="s">
        <v>382</v>
      </c>
      <c r="E1826">
        <v>0</v>
      </c>
      <c r="F1826" s="287"/>
      <c r="G1826" s="287"/>
      <c r="H1826" s="287"/>
      <c r="I1826" t="s">
        <v>382</v>
      </c>
      <c r="J1826" t="s">
        <v>42</v>
      </c>
    </row>
    <row r="1827" spans="1:10" x14ac:dyDescent="0.25">
      <c r="A1827" t="s">
        <v>390</v>
      </c>
      <c r="C1827" s="286">
        <v>42574.834189814814</v>
      </c>
      <c r="D1827" t="s">
        <v>382</v>
      </c>
      <c r="E1827">
        <v>0</v>
      </c>
      <c r="F1827" s="287"/>
      <c r="G1827" s="287"/>
      <c r="H1827" s="287"/>
      <c r="I1827" t="s">
        <v>382</v>
      </c>
      <c r="J1827" t="s">
        <v>42</v>
      </c>
    </row>
    <row r="1828" spans="1:10" x14ac:dyDescent="0.25">
      <c r="A1828" t="s">
        <v>390</v>
      </c>
      <c r="C1828" s="286">
        <v>42574.842951388891</v>
      </c>
      <c r="D1828" t="s">
        <v>382</v>
      </c>
      <c r="E1828">
        <v>0</v>
      </c>
      <c r="F1828" s="287"/>
      <c r="G1828" s="287"/>
      <c r="H1828" s="287"/>
      <c r="I1828" t="s">
        <v>382</v>
      </c>
      <c r="J1828" t="s">
        <v>42</v>
      </c>
    </row>
    <row r="1829" spans="1:10" x14ac:dyDescent="0.25">
      <c r="A1829" t="s">
        <v>390</v>
      </c>
      <c r="C1829" s="286">
        <v>42574.968611111108</v>
      </c>
      <c r="D1829" t="s">
        <v>382</v>
      </c>
      <c r="E1829">
        <v>0</v>
      </c>
      <c r="F1829" s="287"/>
      <c r="G1829" s="287"/>
      <c r="H1829" s="287"/>
      <c r="I1829" t="s">
        <v>382</v>
      </c>
      <c r="J1829" t="s">
        <v>42</v>
      </c>
    </row>
    <row r="1830" spans="1:10" x14ac:dyDescent="0.25">
      <c r="A1830" t="s">
        <v>390</v>
      </c>
      <c r="C1830" s="286">
        <v>42575.016388888886</v>
      </c>
      <c r="D1830" t="s">
        <v>382</v>
      </c>
      <c r="E1830">
        <v>0</v>
      </c>
      <c r="F1830" s="287"/>
      <c r="G1830" s="287"/>
      <c r="H1830" s="287"/>
      <c r="I1830" t="s">
        <v>382</v>
      </c>
      <c r="J1830" t="s">
        <v>42</v>
      </c>
    </row>
    <row r="1831" spans="1:10" x14ac:dyDescent="0.25">
      <c r="A1831" t="s">
        <v>390</v>
      </c>
      <c r="C1831" s="286">
        <v>42575.520624999997</v>
      </c>
      <c r="D1831" t="s">
        <v>382</v>
      </c>
      <c r="E1831">
        <v>0</v>
      </c>
      <c r="F1831" s="287"/>
      <c r="G1831" s="287"/>
      <c r="H1831" s="287"/>
      <c r="I1831" t="s">
        <v>382</v>
      </c>
      <c r="J1831" t="s">
        <v>42</v>
      </c>
    </row>
    <row r="1832" spans="1:10" x14ac:dyDescent="0.25">
      <c r="A1832" t="s">
        <v>390</v>
      </c>
      <c r="C1832" s="286">
        <v>42575.538518518515</v>
      </c>
      <c r="D1832" t="s">
        <v>382</v>
      </c>
      <c r="E1832">
        <v>0</v>
      </c>
      <c r="F1832" s="287"/>
      <c r="G1832" s="287"/>
      <c r="H1832" s="287"/>
      <c r="I1832" t="s">
        <v>382</v>
      </c>
      <c r="J1832" t="s">
        <v>42</v>
      </c>
    </row>
    <row r="1833" spans="1:10" x14ac:dyDescent="0.25">
      <c r="A1833" t="s">
        <v>390</v>
      </c>
      <c r="C1833" s="286">
        <v>42575.559930555559</v>
      </c>
      <c r="D1833" t="s">
        <v>382</v>
      </c>
      <c r="E1833">
        <v>0</v>
      </c>
      <c r="F1833" s="287"/>
      <c r="G1833" s="287"/>
      <c r="H1833" s="287"/>
      <c r="I1833" t="s">
        <v>382</v>
      </c>
      <c r="J1833" t="s">
        <v>42</v>
      </c>
    </row>
    <row r="1834" spans="1:10" x14ac:dyDescent="0.25">
      <c r="A1834" t="s">
        <v>390</v>
      </c>
      <c r="C1834" s="286">
        <v>42575.627256944441</v>
      </c>
      <c r="D1834" t="s">
        <v>382</v>
      </c>
      <c r="E1834">
        <v>0</v>
      </c>
      <c r="F1834" s="287"/>
      <c r="G1834" s="287"/>
      <c r="H1834" s="287"/>
      <c r="I1834" t="s">
        <v>382</v>
      </c>
      <c r="J1834" t="s">
        <v>42</v>
      </c>
    </row>
    <row r="1835" spans="1:10" x14ac:dyDescent="0.25">
      <c r="A1835" t="s">
        <v>390</v>
      </c>
      <c r="C1835" s="286">
        <v>42575.712083333332</v>
      </c>
      <c r="D1835" t="s">
        <v>382</v>
      </c>
      <c r="E1835">
        <v>0</v>
      </c>
      <c r="F1835" s="287"/>
      <c r="G1835" s="287"/>
      <c r="H1835" s="287"/>
      <c r="I1835" t="s">
        <v>382</v>
      </c>
      <c r="J1835" t="s">
        <v>42</v>
      </c>
    </row>
    <row r="1836" spans="1:10" x14ac:dyDescent="0.25">
      <c r="A1836" t="s">
        <v>390</v>
      </c>
      <c r="C1836" s="286">
        <v>42575.743518518517</v>
      </c>
      <c r="D1836" t="s">
        <v>382</v>
      </c>
      <c r="E1836">
        <v>0</v>
      </c>
      <c r="F1836" s="287"/>
      <c r="G1836" s="287"/>
      <c r="H1836" s="287"/>
      <c r="I1836" t="s">
        <v>382</v>
      </c>
      <c r="J1836" t="s">
        <v>42</v>
      </c>
    </row>
    <row r="1837" spans="1:10" x14ac:dyDescent="0.25">
      <c r="A1837" t="s">
        <v>390</v>
      </c>
      <c r="C1837" s="286">
        <v>42575.747939814813</v>
      </c>
      <c r="D1837" t="s">
        <v>382</v>
      </c>
      <c r="E1837">
        <v>0</v>
      </c>
      <c r="F1837" s="287"/>
      <c r="G1837" s="287"/>
      <c r="H1837" s="287"/>
      <c r="I1837" t="s">
        <v>382</v>
      </c>
      <c r="J1837" t="s">
        <v>42</v>
      </c>
    </row>
    <row r="1838" spans="1:10" x14ac:dyDescent="0.25">
      <c r="A1838" t="s">
        <v>390</v>
      </c>
      <c r="C1838" s="286">
        <v>42575.753437500003</v>
      </c>
      <c r="D1838" t="s">
        <v>382</v>
      </c>
      <c r="E1838">
        <v>0</v>
      </c>
      <c r="F1838" s="287"/>
      <c r="G1838" s="287"/>
      <c r="H1838" s="287"/>
      <c r="I1838" t="s">
        <v>382</v>
      </c>
      <c r="J1838" t="s">
        <v>42</v>
      </c>
    </row>
    <row r="1839" spans="1:10" x14ac:dyDescent="0.25">
      <c r="A1839" t="s">
        <v>390</v>
      </c>
      <c r="C1839" s="286">
        <v>42575.797939814816</v>
      </c>
      <c r="D1839" t="s">
        <v>382</v>
      </c>
      <c r="E1839">
        <v>0</v>
      </c>
      <c r="F1839" s="287"/>
      <c r="G1839" s="287"/>
      <c r="H1839" s="287"/>
      <c r="I1839" t="s">
        <v>382</v>
      </c>
      <c r="J1839" t="s">
        <v>42</v>
      </c>
    </row>
    <row r="1840" spans="1:10" x14ac:dyDescent="0.25">
      <c r="A1840" t="s">
        <v>390</v>
      </c>
      <c r="C1840" s="286">
        <v>42575.85869212963</v>
      </c>
      <c r="D1840" t="s">
        <v>382</v>
      </c>
      <c r="E1840">
        <v>0</v>
      </c>
      <c r="F1840" s="287"/>
      <c r="G1840" s="287"/>
      <c r="H1840" s="287"/>
      <c r="I1840" t="s">
        <v>382</v>
      </c>
      <c r="J1840" t="s">
        <v>42</v>
      </c>
    </row>
    <row r="1841" spans="1:10" x14ac:dyDescent="0.25">
      <c r="A1841" t="s">
        <v>390</v>
      </c>
      <c r="C1841" s="286">
        <v>42575.860567129632</v>
      </c>
      <c r="D1841" t="s">
        <v>382</v>
      </c>
      <c r="E1841">
        <v>0</v>
      </c>
      <c r="F1841" s="287"/>
      <c r="G1841" s="287"/>
      <c r="H1841" s="287"/>
      <c r="I1841" t="s">
        <v>382</v>
      </c>
      <c r="J1841" t="s">
        <v>42</v>
      </c>
    </row>
    <row r="1842" spans="1:10" x14ac:dyDescent="0.25">
      <c r="A1842" t="s">
        <v>390</v>
      </c>
      <c r="C1842" s="286">
        <v>42576.021863425929</v>
      </c>
      <c r="D1842" t="s">
        <v>382</v>
      </c>
      <c r="E1842">
        <v>0</v>
      </c>
      <c r="F1842" s="287"/>
      <c r="G1842" s="287"/>
      <c r="H1842" s="287"/>
      <c r="I1842" t="s">
        <v>382</v>
      </c>
      <c r="J1842" t="s">
        <v>42</v>
      </c>
    </row>
    <row r="1843" spans="1:10" x14ac:dyDescent="0.25">
      <c r="A1843" t="s">
        <v>390</v>
      </c>
      <c r="C1843" s="286">
        <v>42576.490567129629</v>
      </c>
      <c r="D1843" t="s">
        <v>382</v>
      </c>
      <c r="E1843">
        <v>0</v>
      </c>
      <c r="F1843" s="287"/>
      <c r="G1843" s="287"/>
      <c r="H1843" s="287"/>
      <c r="I1843" t="s">
        <v>382</v>
      </c>
      <c r="J1843" t="s">
        <v>42</v>
      </c>
    </row>
    <row r="1844" spans="1:10" x14ac:dyDescent="0.25">
      <c r="A1844" t="s">
        <v>390</v>
      </c>
      <c r="C1844" s="286">
        <v>42576.527037037034</v>
      </c>
      <c r="D1844" t="s">
        <v>382</v>
      </c>
      <c r="E1844">
        <v>0</v>
      </c>
      <c r="F1844" s="287"/>
      <c r="G1844" s="287"/>
      <c r="H1844" s="287"/>
      <c r="I1844" t="s">
        <v>382</v>
      </c>
      <c r="J1844" t="s">
        <v>42</v>
      </c>
    </row>
    <row r="1845" spans="1:10" x14ac:dyDescent="0.25">
      <c r="A1845" t="s">
        <v>390</v>
      </c>
      <c r="C1845" s="286">
        <v>42576.614178240743</v>
      </c>
      <c r="D1845" t="s">
        <v>382</v>
      </c>
      <c r="E1845">
        <v>0</v>
      </c>
      <c r="F1845" s="287"/>
      <c r="G1845" s="287"/>
      <c r="H1845" s="287"/>
      <c r="I1845" t="s">
        <v>382</v>
      </c>
      <c r="J1845" t="s">
        <v>42</v>
      </c>
    </row>
    <row r="1846" spans="1:10" x14ac:dyDescent="0.25">
      <c r="A1846" t="s">
        <v>390</v>
      </c>
      <c r="C1846" s="286">
        <v>42576.627187500002</v>
      </c>
      <c r="D1846" t="s">
        <v>382</v>
      </c>
      <c r="E1846">
        <v>0</v>
      </c>
      <c r="F1846" s="287"/>
      <c r="G1846" s="287"/>
      <c r="H1846" s="287"/>
      <c r="I1846" t="s">
        <v>382</v>
      </c>
      <c r="J1846" t="s">
        <v>42</v>
      </c>
    </row>
    <row r="1847" spans="1:10" x14ac:dyDescent="0.25">
      <c r="A1847" t="s">
        <v>390</v>
      </c>
      <c r="C1847" s="286">
        <v>42576.797337962962</v>
      </c>
      <c r="D1847" t="s">
        <v>382</v>
      </c>
      <c r="E1847">
        <v>0</v>
      </c>
      <c r="F1847" s="287"/>
      <c r="G1847" s="287"/>
      <c r="H1847" s="287"/>
      <c r="I1847" t="s">
        <v>382</v>
      </c>
      <c r="J1847" t="s">
        <v>42</v>
      </c>
    </row>
    <row r="1848" spans="1:10" x14ac:dyDescent="0.25">
      <c r="A1848" t="s">
        <v>396</v>
      </c>
      <c r="C1848" s="286">
        <v>42576.823368055557</v>
      </c>
      <c r="D1848" t="s">
        <v>382</v>
      </c>
      <c r="E1848">
        <v>0</v>
      </c>
      <c r="F1848" s="287"/>
      <c r="G1848" s="287"/>
      <c r="H1848" s="287"/>
      <c r="I1848" t="s">
        <v>382</v>
      </c>
      <c r="J1848" t="s">
        <v>42</v>
      </c>
    </row>
    <row r="1849" spans="1:10" x14ac:dyDescent="0.25">
      <c r="A1849" t="s">
        <v>390</v>
      </c>
      <c r="C1849" s="286">
        <v>42576.847673611112</v>
      </c>
      <c r="D1849" t="s">
        <v>382</v>
      </c>
      <c r="E1849">
        <v>0</v>
      </c>
      <c r="F1849" s="287"/>
      <c r="G1849" s="287"/>
      <c r="H1849" s="287"/>
      <c r="I1849" t="s">
        <v>382</v>
      </c>
      <c r="J1849" t="s">
        <v>42</v>
      </c>
    </row>
    <row r="1850" spans="1:10" x14ac:dyDescent="0.25">
      <c r="A1850" t="s">
        <v>390</v>
      </c>
      <c r="C1850" s="286">
        <v>42576.917824074073</v>
      </c>
      <c r="D1850" t="s">
        <v>382</v>
      </c>
      <c r="E1850">
        <v>0</v>
      </c>
      <c r="F1850" s="287"/>
      <c r="G1850" s="287"/>
      <c r="H1850" s="287"/>
      <c r="I1850" t="s">
        <v>382</v>
      </c>
      <c r="J1850" t="s">
        <v>42</v>
      </c>
    </row>
    <row r="1851" spans="1:10" x14ac:dyDescent="0.25">
      <c r="A1851" t="s">
        <v>390</v>
      </c>
      <c r="C1851" s="286">
        <v>42576.932962962965</v>
      </c>
      <c r="D1851" t="s">
        <v>382</v>
      </c>
      <c r="E1851">
        <v>0</v>
      </c>
      <c r="F1851" s="287"/>
      <c r="G1851" s="287"/>
      <c r="H1851" s="287"/>
      <c r="I1851" t="s">
        <v>382</v>
      </c>
      <c r="J1851" t="s">
        <v>42</v>
      </c>
    </row>
    <row r="1852" spans="1:10" x14ac:dyDescent="0.25">
      <c r="A1852" t="s">
        <v>390</v>
      </c>
      <c r="C1852" s="286">
        <v>42576.947314814817</v>
      </c>
      <c r="D1852" t="s">
        <v>382</v>
      </c>
      <c r="E1852">
        <v>0</v>
      </c>
      <c r="F1852" s="287"/>
      <c r="G1852" s="287"/>
      <c r="H1852" s="287"/>
      <c r="I1852" t="s">
        <v>382</v>
      </c>
      <c r="J1852" t="s">
        <v>42</v>
      </c>
    </row>
    <row r="1853" spans="1:10" x14ac:dyDescent="0.25">
      <c r="A1853" t="s">
        <v>390</v>
      </c>
      <c r="C1853" s="286">
        <v>42576.972083333334</v>
      </c>
      <c r="D1853" t="s">
        <v>382</v>
      </c>
      <c r="E1853">
        <v>0</v>
      </c>
      <c r="F1853" s="287"/>
      <c r="G1853" s="287"/>
      <c r="H1853" s="287"/>
      <c r="I1853" t="s">
        <v>382</v>
      </c>
      <c r="J1853" t="s">
        <v>42</v>
      </c>
    </row>
    <row r="1854" spans="1:10" x14ac:dyDescent="0.25">
      <c r="A1854" t="s">
        <v>390</v>
      </c>
      <c r="C1854" s="286">
        <v>42577.585185185184</v>
      </c>
      <c r="D1854" t="s">
        <v>382</v>
      </c>
      <c r="E1854">
        <v>0</v>
      </c>
      <c r="F1854" s="287"/>
      <c r="G1854" s="287"/>
      <c r="H1854" s="287"/>
      <c r="I1854" t="s">
        <v>382</v>
      </c>
      <c r="J1854" t="s">
        <v>42</v>
      </c>
    </row>
    <row r="1855" spans="1:10" x14ac:dyDescent="0.25">
      <c r="A1855" t="s">
        <v>390</v>
      </c>
      <c r="C1855" s="286">
        <v>42577.630428240744</v>
      </c>
      <c r="D1855" t="s">
        <v>382</v>
      </c>
      <c r="E1855">
        <v>0</v>
      </c>
      <c r="F1855" s="287"/>
      <c r="G1855" s="287"/>
      <c r="H1855" s="287"/>
      <c r="I1855" t="s">
        <v>382</v>
      </c>
      <c r="J1855" t="s">
        <v>42</v>
      </c>
    </row>
    <row r="1856" spans="1:10" x14ac:dyDescent="0.25">
      <c r="A1856" t="s">
        <v>390</v>
      </c>
      <c r="C1856" s="286">
        <v>42577.651446759257</v>
      </c>
      <c r="D1856" t="s">
        <v>382</v>
      </c>
      <c r="E1856">
        <v>0</v>
      </c>
      <c r="F1856" s="287"/>
      <c r="G1856" s="287"/>
      <c r="H1856" s="287"/>
      <c r="I1856" t="s">
        <v>382</v>
      </c>
      <c r="J1856" t="s">
        <v>42</v>
      </c>
    </row>
    <row r="1857" spans="1:10" x14ac:dyDescent="0.25">
      <c r="A1857" t="s">
        <v>390</v>
      </c>
      <c r="C1857" s="286">
        <v>42577.713483796295</v>
      </c>
      <c r="D1857" t="s">
        <v>382</v>
      </c>
      <c r="E1857">
        <v>0</v>
      </c>
      <c r="F1857" s="287"/>
      <c r="G1857" s="287"/>
      <c r="H1857" s="287"/>
      <c r="I1857" t="s">
        <v>382</v>
      </c>
      <c r="J1857" t="s">
        <v>42</v>
      </c>
    </row>
    <row r="1858" spans="1:10" x14ac:dyDescent="0.25">
      <c r="A1858" t="s">
        <v>390</v>
      </c>
      <c r="C1858" s="286">
        <v>42577.828888888886</v>
      </c>
      <c r="D1858" t="s">
        <v>382</v>
      </c>
      <c r="E1858">
        <v>0</v>
      </c>
      <c r="F1858" s="287"/>
      <c r="G1858" s="287"/>
      <c r="H1858" s="287"/>
      <c r="I1858" t="s">
        <v>382</v>
      </c>
      <c r="J1858" t="s">
        <v>42</v>
      </c>
    </row>
    <row r="1859" spans="1:10" x14ac:dyDescent="0.25">
      <c r="A1859" t="s">
        <v>390</v>
      </c>
      <c r="C1859" s="286">
        <v>42577.888657407406</v>
      </c>
      <c r="D1859" t="s">
        <v>382</v>
      </c>
      <c r="E1859">
        <v>0</v>
      </c>
      <c r="F1859" s="287"/>
      <c r="G1859" s="287"/>
      <c r="H1859" s="287"/>
      <c r="I1859" t="s">
        <v>382</v>
      </c>
      <c r="J1859" t="s">
        <v>42</v>
      </c>
    </row>
    <row r="1860" spans="1:10" x14ac:dyDescent="0.25">
      <c r="A1860" t="s">
        <v>390</v>
      </c>
      <c r="C1860" s="286">
        <v>42577.915000000001</v>
      </c>
      <c r="D1860" t="s">
        <v>382</v>
      </c>
      <c r="E1860">
        <v>0</v>
      </c>
      <c r="F1860" s="287"/>
      <c r="G1860" s="287"/>
      <c r="H1860" s="287"/>
      <c r="I1860" t="s">
        <v>382</v>
      </c>
      <c r="J1860" t="s">
        <v>42</v>
      </c>
    </row>
    <row r="1861" spans="1:10" x14ac:dyDescent="0.25">
      <c r="A1861" t="s">
        <v>390</v>
      </c>
      <c r="C1861" s="286">
        <v>42578.337476851855</v>
      </c>
      <c r="D1861" t="s">
        <v>382</v>
      </c>
      <c r="E1861">
        <v>0</v>
      </c>
      <c r="F1861" s="287"/>
      <c r="G1861" s="287"/>
      <c r="H1861" s="287"/>
      <c r="I1861" t="s">
        <v>382</v>
      </c>
      <c r="J1861" t="s">
        <v>42</v>
      </c>
    </row>
    <row r="1862" spans="1:10" x14ac:dyDescent="0.25">
      <c r="A1862" t="s">
        <v>390</v>
      </c>
      <c r="C1862" s="286">
        <v>42578.419479166667</v>
      </c>
      <c r="D1862" t="s">
        <v>382</v>
      </c>
      <c r="E1862">
        <v>0</v>
      </c>
      <c r="F1862" s="287"/>
      <c r="G1862" s="287"/>
      <c r="H1862" s="287"/>
      <c r="I1862" t="s">
        <v>382</v>
      </c>
      <c r="J1862" t="s">
        <v>42</v>
      </c>
    </row>
    <row r="1863" spans="1:10" x14ac:dyDescent="0.25">
      <c r="A1863" t="s">
        <v>390</v>
      </c>
      <c r="C1863" s="286">
        <v>42578.514363425929</v>
      </c>
      <c r="D1863" t="s">
        <v>382</v>
      </c>
      <c r="E1863">
        <v>0</v>
      </c>
      <c r="F1863" s="287"/>
      <c r="G1863" s="287"/>
      <c r="H1863" s="287"/>
      <c r="I1863" t="s">
        <v>382</v>
      </c>
      <c r="J1863" t="s">
        <v>42</v>
      </c>
    </row>
    <row r="1864" spans="1:10" x14ac:dyDescent="0.25">
      <c r="A1864" t="s">
        <v>390</v>
      </c>
      <c r="C1864" s="286">
        <v>42578.572743055556</v>
      </c>
      <c r="D1864" t="s">
        <v>382</v>
      </c>
      <c r="E1864">
        <v>0</v>
      </c>
      <c r="F1864" s="287"/>
      <c r="G1864" s="287"/>
      <c r="H1864" s="287"/>
      <c r="I1864" t="s">
        <v>382</v>
      </c>
      <c r="J1864" t="s">
        <v>42</v>
      </c>
    </row>
    <row r="1865" spans="1:10" x14ac:dyDescent="0.25">
      <c r="A1865" t="s">
        <v>390</v>
      </c>
      <c r="C1865" s="286">
        <v>42578.631388888891</v>
      </c>
      <c r="D1865" t="s">
        <v>382</v>
      </c>
      <c r="E1865">
        <v>0</v>
      </c>
      <c r="F1865" s="287"/>
      <c r="G1865" s="287"/>
      <c r="H1865" s="287"/>
      <c r="I1865" t="s">
        <v>382</v>
      </c>
      <c r="J1865" t="s">
        <v>42</v>
      </c>
    </row>
    <row r="1866" spans="1:10" x14ac:dyDescent="0.25">
      <c r="A1866" t="s">
        <v>390</v>
      </c>
      <c r="C1866" s="286">
        <v>42578.698067129626</v>
      </c>
      <c r="D1866" t="s">
        <v>382</v>
      </c>
      <c r="E1866">
        <v>0</v>
      </c>
      <c r="F1866" s="287"/>
      <c r="G1866" s="287"/>
      <c r="H1866" s="287"/>
      <c r="I1866" t="s">
        <v>382</v>
      </c>
      <c r="J1866" t="s">
        <v>42</v>
      </c>
    </row>
    <row r="1867" spans="1:10" x14ac:dyDescent="0.25">
      <c r="A1867" t="s">
        <v>390</v>
      </c>
      <c r="C1867" s="286">
        <v>42578.709652777776</v>
      </c>
      <c r="D1867" t="s">
        <v>382</v>
      </c>
      <c r="E1867">
        <v>0</v>
      </c>
      <c r="F1867" s="287"/>
      <c r="G1867" s="287"/>
      <c r="H1867" s="287"/>
      <c r="I1867" t="s">
        <v>382</v>
      </c>
      <c r="J1867" t="s">
        <v>42</v>
      </c>
    </row>
    <row r="1868" spans="1:10" x14ac:dyDescent="0.25">
      <c r="A1868" t="s">
        <v>390</v>
      </c>
      <c r="C1868" s="286">
        <v>42578.746481481481</v>
      </c>
      <c r="D1868" t="s">
        <v>382</v>
      </c>
      <c r="E1868">
        <v>0</v>
      </c>
      <c r="F1868" s="287"/>
      <c r="G1868" s="287"/>
      <c r="H1868" s="287"/>
      <c r="I1868" t="s">
        <v>382</v>
      </c>
      <c r="J1868" t="s">
        <v>42</v>
      </c>
    </row>
    <row r="1869" spans="1:10" x14ac:dyDescent="0.25">
      <c r="A1869" t="s">
        <v>390</v>
      </c>
      <c r="C1869" s="286">
        <v>42578.800625000003</v>
      </c>
      <c r="D1869" t="s">
        <v>382</v>
      </c>
      <c r="E1869">
        <v>0</v>
      </c>
      <c r="F1869" s="287"/>
      <c r="G1869" s="287"/>
      <c r="H1869" s="287"/>
      <c r="I1869" t="s">
        <v>382</v>
      </c>
      <c r="J1869" t="s">
        <v>42</v>
      </c>
    </row>
    <row r="1870" spans="1:10" x14ac:dyDescent="0.25">
      <c r="A1870" t="s">
        <v>396</v>
      </c>
      <c r="C1870" s="286">
        <v>42578.817789351851</v>
      </c>
      <c r="D1870" t="s">
        <v>382</v>
      </c>
      <c r="E1870">
        <v>0</v>
      </c>
      <c r="F1870" s="287"/>
      <c r="G1870" s="287"/>
      <c r="H1870" s="287"/>
      <c r="I1870" t="s">
        <v>382</v>
      </c>
      <c r="J1870" t="s">
        <v>42</v>
      </c>
    </row>
    <row r="1871" spans="1:10" x14ac:dyDescent="0.25">
      <c r="A1871" t="s">
        <v>390</v>
      </c>
      <c r="C1871" s="286">
        <v>42578.854062500002</v>
      </c>
      <c r="D1871" t="s">
        <v>382</v>
      </c>
      <c r="E1871">
        <v>0</v>
      </c>
      <c r="F1871" s="287"/>
      <c r="G1871" s="287"/>
      <c r="H1871" s="287"/>
      <c r="I1871" t="s">
        <v>382</v>
      </c>
      <c r="J1871" t="s">
        <v>42</v>
      </c>
    </row>
    <row r="1872" spans="1:10" x14ac:dyDescent="0.25">
      <c r="A1872" t="s">
        <v>390</v>
      </c>
      <c r="C1872" s="286">
        <v>42578.860405092593</v>
      </c>
      <c r="D1872" t="s">
        <v>382</v>
      </c>
      <c r="E1872">
        <v>0</v>
      </c>
      <c r="F1872" s="287"/>
      <c r="G1872" s="287"/>
      <c r="H1872" s="287"/>
      <c r="I1872" t="s">
        <v>382</v>
      </c>
      <c r="J1872" t="s">
        <v>42</v>
      </c>
    </row>
    <row r="1873" spans="1:10" x14ac:dyDescent="0.25">
      <c r="A1873" t="s">
        <v>390</v>
      </c>
      <c r="C1873" s="286">
        <v>42579.453333333331</v>
      </c>
      <c r="D1873" t="s">
        <v>382</v>
      </c>
      <c r="E1873">
        <v>0</v>
      </c>
      <c r="F1873" s="287"/>
      <c r="G1873" s="287"/>
      <c r="H1873" s="287"/>
      <c r="I1873" t="s">
        <v>382</v>
      </c>
      <c r="J1873" t="s">
        <v>42</v>
      </c>
    </row>
    <row r="1874" spans="1:10" x14ac:dyDescent="0.25">
      <c r="A1874" t="s">
        <v>390</v>
      </c>
      <c r="C1874" s="286">
        <v>42579.483090277776</v>
      </c>
      <c r="D1874" t="s">
        <v>382</v>
      </c>
      <c r="E1874">
        <v>0</v>
      </c>
      <c r="F1874" s="287"/>
      <c r="G1874" s="287"/>
      <c r="H1874" s="287"/>
      <c r="I1874" t="s">
        <v>382</v>
      </c>
      <c r="J1874" t="s">
        <v>42</v>
      </c>
    </row>
    <row r="1875" spans="1:10" x14ac:dyDescent="0.25">
      <c r="A1875" t="s">
        <v>390</v>
      </c>
      <c r="C1875" s="286">
        <v>42579.625219907408</v>
      </c>
      <c r="D1875" t="s">
        <v>382</v>
      </c>
      <c r="E1875">
        <v>0</v>
      </c>
      <c r="F1875" s="287"/>
      <c r="G1875" s="287"/>
      <c r="H1875" s="287"/>
      <c r="I1875" t="s">
        <v>382</v>
      </c>
      <c r="J1875" t="s">
        <v>42</v>
      </c>
    </row>
    <row r="1876" spans="1:10" x14ac:dyDescent="0.25">
      <c r="A1876" t="s">
        <v>390</v>
      </c>
      <c r="C1876" s="286">
        <v>42579.713877314818</v>
      </c>
      <c r="D1876" t="s">
        <v>382</v>
      </c>
      <c r="E1876">
        <v>0</v>
      </c>
      <c r="F1876" s="287"/>
      <c r="G1876" s="287"/>
      <c r="H1876" s="287"/>
      <c r="I1876" t="s">
        <v>382</v>
      </c>
      <c r="J1876" t="s">
        <v>42</v>
      </c>
    </row>
    <row r="1877" spans="1:10" x14ac:dyDescent="0.25">
      <c r="A1877" t="s">
        <v>390</v>
      </c>
      <c r="C1877" s="286">
        <v>42579.770254629628</v>
      </c>
      <c r="D1877" t="s">
        <v>382</v>
      </c>
      <c r="E1877">
        <v>0</v>
      </c>
      <c r="F1877" s="287"/>
      <c r="G1877" s="287"/>
      <c r="H1877" s="287"/>
      <c r="I1877" t="s">
        <v>382</v>
      </c>
      <c r="J1877" t="s">
        <v>42</v>
      </c>
    </row>
    <row r="1878" spans="1:10" x14ac:dyDescent="0.25">
      <c r="A1878" t="s">
        <v>390</v>
      </c>
      <c r="C1878" s="286">
        <v>42579.784618055557</v>
      </c>
      <c r="D1878" t="s">
        <v>382</v>
      </c>
      <c r="E1878">
        <v>0</v>
      </c>
      <c r="F1878" s="287"/>
      <c r="G1878" s="287"/>
      <c r="H1878" s="287"/>
      <c r="I1878" t="s">
        <v>382</v>
      </c>
      <c r="J1878" t="s">
        <v>42</v>
      </c>
    </row>
    <row r="1879" spans="1:10" x14ac:dyDescent="0.25">
      <c r="A1879" t="s">
        <v>390</v>
      </c>
      <c r="C1879" s="286">
        <v>42579.800023148149</v>
      </c>
      <c r="D1879" t="s">
        <v>382</v>
      </c>
      <c r="E1879">
        <v>0</v>
      </c>
      <c r="F1879" s="287"/>
      <c r="G1879" s="287"/>
      <c r="H1879" s="287"/>
      <c r="I1879" t="s">
        <v>382</v>
      </c>
      <c r="J1879" t="s">
        <v>42</v>
      </c>
    </row>
    <row r="1880" spans="1:10" x14ac:dyDescent="0.25">
      <c r="A1880" t="s">
        <v>390</v>
      </c>
      <c r="C1880" s="286">
        <v>42579.800358796296</v>
      </c>
      <c r="D1880" t="s">
        <v>382</v>
      </c>
      <c r="E1880">
        <v>0</v>
      </c>
      <c r="F1880" s="287"/>
      <c r="G1880" s="287"/>
      <c r="H1880" s="287"/>
      <c r="I1880" t="s">
        <v>382</v>
      </c>
      <c r="J1880" t="s">
        <v>42</v>
      </c>
    </row>
    <row r="1881" spans="1:10" x14ac:dyDescent="0.25">
      <c r="A1881" t="s">
        <v>390</v>
      </c>
      <c r="C1881" s="286">
        <v>42579.809108796297</v>
      </c>
      <c r="D1881" t="s">
        <v>382</v>
      </c>
      <c r="E1881">
        <v>0</v>
      </c>
      <c r="F1881" s="287"/>
      <c r="G1881" s="287"/>
      <c r="H1881" s="287"/>
      <c r="I1881" t="s">
        <v>382</v>
      </c>
      <c r="J1881" t="s">
        <v>42</v>
      </c>
    </row>
    <row r="1882" spans="1:10" x14ac:dyDescent="0.25">
      <c r="A1882" t="s">
        <v>390</v>
      </c>
      <c r="C1882" s="286">
        <v>42580.306284722225</v>
      </c>
      <c r="D1882" t="s">
        <v>382</v>
      </c>
      <c r="E1882">
        <v>0</v>
      </c>
      <c r="F1882" s="287"/>
      <c r="G1882" s="287"/>
      <c r="H1882" s="287"/>
      <c r="I1882" t="s">
        <v>382</v>
      </c>
      <c r="J1882" t="s">
        <v>42</v>
      </c>
    </row>
    <row r="1883" spans="1:10" x14ac:dyDescent="0.25">
      <c r="A1883" t="s">
        <v>390</v>
      </c>
      <c r="C1883" s="286">
        <v>42580.439872685187</v>
      </c>
      <c r="D1883" t="s">
        <v>382</v>
      </c>
      <c r="E1883">
        <v>0</v>
      </c>
      <c r="F1883" s="287"/>
      <c r="G1883" s="287"/>
      <c r="H1883" s="287"/>
      <c r="I1883" t="s">
        <v>382</v>
      </c>
      <c r="J1883" t="s">
        <v>42</v>
      </c>
    </row>
    <row r="1884" spans="1:10" x14ac:dyDescent="0.25">
      <c r="A1884" t="s">
        <v>390</v>
      </c>
      <c r="C1884" s="286">
        <v>42580.516724537039</v>
      </c>
      <c r="D1884" t="s">
        <v>382</v>
      </c>
      <c r="E1884">
        <v>0</v>
      </c>
      <c r="F1884" s="287"/>
      <c r="G1884" s="287"/>
      <c r="H1884" s="287"/>
      <c r="I1884" t="s">
        <v>382</v>
      </c>
      <c r="J1884" t="s">
        <v>42</v>
      </c>
    </row>
    <row r="1885" spans="1:10" x14ac:dyDescent="0.25">
      <c r="A1885" t="s">
        <v>390</v>
      </c>
      <c r="C1885" s="286">
        <v>42580.628171296295</v>
      </c>
      <c r="D1885" t="s">
        <v>382</v>
      </c>
      <c r="E1885">
        <v>0</v>
      </c>
      <c r="F1885" s="287"/>
      <c r="G1885" s="287"/>
      <c r="H1885" s="287"/>
      <c r="I1885" t="s">
        <v>382</v>
      </c>
      <c r="J1885" t="s">
        <v>42</v>
      </c>
    </row>
    <row r="1886" spans="1:10" x14ac:dyDescent="0.25">
      <c r="A1886" t="s">
        <v>390</v>
      </c>
      <c r="C1886" s="286">
        <v>42580.702210648145</v>
      </c>
      <c r="D1886" t="s">
        <v>382</v>
      </c>
      <c r="E1886">
        <v>0</v>
      </c>
      <c r="F1886" s="287"/>
      <c r="G1886" s="287"/>
      <c r="H1886" s="287"/>
      <c r="I1886" t="s">
        <v>382</v>
      </c>
      <c r="J1886" t="s">
        <v>42</v>
      </c>
    </row>
    <row r="1887" spans="1:10" x14ac:dyDescent="0.25">
      <c r="A1887" t="s">
        <v>390</v>
      </c>
      <c r="C1887" s="286">
        <v>42580.711539351854</v>
      </c>
      <c r="D1887" t="s">
        <v>382</v>
      </c>
      <c r="E1887">
        <v>0</v>
      </c>
      <c r="F1887" s="287"/>
      <c r="G1887" s="287"/>
      <c r="H1887" s="287"/>
      <c r="I1887" t="s">
        <v>382</v>
      </c>
      <c r="J1887" t="s">
        <v>42</v>
      </c>
    </row>
    <row r="1888" spans="1:10" x14ac:dyDescent="0.25">
      <c r="A1888" t="s">
        <v>390</v>
      </c>
      <c r="C1888" s="286">
        <v>42580.785798611112</v>
      </c>
      <c r="D1888" t="s">
        <v>382</v>
      </c>
      <c r="E1888">
        <v>0</v>
      </c>
      <c r="F1888" s="287"/>
      <c r="G1888" s="287"/>
      <c r="H1888" s="287"/>
      <c r="I1888" t="s">
        <v>382</v>
      </c>
      <c r="J1888" t="s">
        <v>42</v>
      </c>
    </row>
    <row r="1889" spans="1:10" x14ac:dyDescent="0.25">
      <c r="A1889" t="s">
        <v>390</v>
      </c>
      <c r="C1889" s="286">
        <v>42580.805173611108</v>
      </c>
      <c r="D1889" t="s">
        <v>382</v>
      </c>
      <c r="E1889">
        <v>0</v>
      </c>
      <c r="F1889" s="287"/>
      <c r="G1889" s="287"/>
      <c r="H1889" s="287"/>
      <c r="I1889" t="s">
        <v>382</v>
      </c>
      <c r="J1889" t="s">
        <v>42</v>
      </c>
    </row>
    <row r="1890" spans="1:10" x14ac:dyDescent="0.25">
      <c r="A1890" t="s">
        <v>396</v>
      </c>
      <c r="C1890" s="286">
        <v>42580.856238425928</v>
      </c>
      <c r="D1890" t="s">
        <v>382</v>
      </c>
      <c r="E1890">
        <v>0</v>
      </c>
      <c r="F1890" s="287"/>
      <c r="G1890" s="287"/>
      <c r="H1890" s="287"/>
      <c r="I1890" t="s">
        <v>382</v>
      </c>
      <c r="J1890" t="s">
        <v>42</v>
      </c>
    </row>
    <row r="1891" spans="1:10" x14ac:dyDescent="0.25">
      <c r="A1891" t="s">
        <v>390</v>
      </c>
      <c r="C1891" s="286">
        <v>42580.973124999997</v>
      </c>
      <c r="D1891" t="s">
        <v>382</v>
      </c>
      <c r="E1891">
        <v>0</v>
      </c>
      <c r="F1891" s="287"/>
      <c r="G1891" s="287"/>
      <c r="H1891" s="287"/>
      <c r="I1891" t="s">
        <v>382</v>
      </c>
      <c r="J1891" t="s">
        <v>42</v>
      </c>
    </row>
    <row r="1892" spans="1:10" x14ac:dyDescent="0.25">
      <c r="A1892" t="s">
        <v>390</v>
      </c>
      <c r="C1892" s="286">
        <v>42580.975219907406</v>
      </c>
      <c r="D1892" t="s">
        <v>382</v>
      </c>
      <c r="E1892">
        <v>0</v>
      </c>
      <c r="F1892" s="287"/>
      <c r="G1892" s="287"/>
      <c r="H1892" s="287"/>
      <c r="I1892" t="s">
        <v>382</v>
      </c>
      <c r="J1892" t="s">
        <v>42</v>
      </c>
    </row>
    <row r="1893" spans="1:10" x14ac:dyDescent="0.25">
      <c r="A1893" t="s">
        <v>390</v>
      </c>
      <c r="C1893" s="286">
        <v>42581.090671296297</v>
      </c>
      <c r="D1893" t="s">
        <v>382</v>
      </c>
      <c r="E1893">
        <v>0</v>
      </c>
      <c r="F1893" s="287"/>
      <c r="G1893" s="287"/>
      <c r="H1893" s="287"/>
      <c r="I1893" t="s">
        <v>382</v>
      </c>
      <c r="J1893" t="s">
        <v>42</v>
      </c>
    </row>
    <row r="1894" spans="1:10" x14ac:dyDescent="0.25">
      <c r="A1894" t="s">
        <v>390</v>
      </c>
      <c r="C1894" s="286">
        <v>42581.290578703702</v>
      </c>
      <c r="D1894" t="s">
        <v>382</v>
      </c>
      <c r="E1894">
        <v>0</v>
      </c>
      <c r="F1894" s="287"/>
      <c r="G1894" s="287"/>
      <c r="H1894" s="287"/>
      <c r="I1894" t="s">
        <v>382</v>
      </c>
      <c r="J1894" t="s">
        <v>42</v>
      </c>
    </row>
    <row r="1895" spans="1:10" x14ac:dyDescent="0.25">
      <c r="A1895" t="s">
        <v>390</v>
      </c>
      <c r="C1895" s="286">
        <v>42581.328784722224</v>
      </c>
      <c r="D1895" t="s">
        <v>382</v>
      </c>
      <c r="E1895">
        <v>0</v>
      </c>
      <c r="F1895" s="287"/>
      <c r="G1895" s="287"/>
      <c r="H1895" s="287"/>
      <c r="I1895" t="s">
        <v>382</v>
      </c>
      <c r="J1895" t="s">
        <v>42</v>
      </c>
    </row>
    <row r="1896" spans="1:10" x14ac:dyDescent="0.25">
      <c r="A1896" t="s">
        <v>390</v>
      </c>
      <c r="C1896" s="286">
        <v>42581.375555555554</v>
      </c>
      <c r="D1896" t="s">
        <v>382</v>
      </c>
      <c r="E1896">
        <v>0</v>
      </c>
      <c r="F1896" s="287"/>
      <c r="G1896" s="287"/>
      <c r="H1896" s="287"/>
      <c r="I1896" t="s">
        <v>382</v>
      </c>
      <c r="J1896" t="s">
        <v>42</v>
      </c>
    </row>
    <row r="1897" spans="1:10" x14ac:dyDescent="0.25">
      <c r="A1897" t="s">
        <v>390</v>
      </c>
      <c r="C1897" s="286">
        <v>42581.379907407405</v>
      </c>
      <c r="D1897" t="s">
        <v>382</v>
      </c>
      <c r="E1897">
        <v>0</v>
      </c>
      <c r="F1897" s="287"/>
      <c r="G1897" s="287"/>
      <c r="H1897" s="287"/>
      <c r="I1897" t="s">
        <v>382</v>
      </c>
      <c r="J1897" t="s">
        <v>42</v>
      </c>
    </row>
    <row r="1898" spans="1:10" x14ac:dyDescent="0.25">
      <c r="A1898" t="s">
        <v>390</v>
      </c>
      <c r="C1898" s="286">
        <v>42581.489884259259</v>
      </c>
      <c r="D1898" t="s">
        <v>382</v>
      </c>
      <c r="E1898">
        <v>0</v>
      </c>
      <c r="F1898" s="287"/>
      <c r="G1898" s="287"/>
      <c r="H1898" s="287"/>
      <c r="I1898" t="s">
        <v>382</v>
      </c>
      <c r="J1898" t="s">
        <v>42</v>
      </c>
    </row>
    <row r="1899" spans="1:10" x14ac:dyDescent="0.25">
      <c r="A1899" t="s">
        <v>390</v>
      </c>
      <c r="C1899" s="286">
        <v>42581.588564814818</v>
      </c>
      <c r="D1899" t="s">
        <v>382</v>
      </c>
      <c r="E1899">
        <v>0</v>
      </c>
      <c r="F1899" s="287"/>
      <c r="G1899" s="287"/>
      <c r="H1899" s="287"/>
      <c r="I1899" t="s">
        <v>382</v>
      </c>
      <c r="J1899" t="s">
        <v>42</v>
      </c>
    </row>
    <row r="1900" spans="1:10" x14ac:dyDescent="0.25">
      <c r="A1900" t="s">
        <v>390</v>
      </c>
      <c r="C1900" s="286">
        <v>42581.625219907408</v>
      </c>
      <c r="D1900" t="s">
        <v>382</v>
      </c>
      <c r="E1900">
        <v>0</v>
      </c>
      <c r="F1900" s="287"/>
      <c r="G1900" s="287"/>
      <c r="H1900" s="287"/>
      <c r="I1900" t="s">
        <v>382</v>
      </c>
      <c r="J1900" t="s">
        <v>42</v>
      </c>
    </row>
    <row r="1901" spans="1:10" x14ac:dyDescent="0.25">
      <c r="A1901" t="s">
        <v>443</v>
      </c>
      <c r="C1901" s="286">
        <v>42581.626689814817</v>
      </c>
      <c r="D1901" t="s">
        <v>382</v>
      </c>
      <c r="E1901">
        <v>0</v>
      </c>
      <c r="F1901" s="287"/>
      <c r="G1901" s="287"/>
      <c r="H1901" s="287"/>
      <c r="I1901" t="s">
        <v>382</v>
      </c>
      <c r="J1901" t="s">
        <v>42</v>
      </c>
    </row>
    <row r="1902" spans="1:10" x14ac:dyDescent="0.25">
      <c r="A1902" t="s">
        <v>390</v>
      </c>
      <c r="C1902" s="286">
        <v>42581.651319444441</v>
      </c>
      <c r="D1902" t="s">
        <v>382</v>
      </c>
      <c r="E1902">
        <v>0</v>
      </c>
      <c r="F1902" s="287"/>
      <c r="G1902" s="287"/>
      <c r="H1902" s="287"/>
      <c r="I1902" t="s">
        <v>382</v>
      </c>
      <c r="J1902" t="s">
        <v>42</v>
      </c>
    </row>
    <row r="1903" spans="1:10" x14ac:dyDescent="0.25">
      <c r="A1903" t="s">
        <v>390</v>
      </c>
      <c r="C1903" s="286">
        <v>42581.712210648147</v>
      </c>
      <c r="D1903" t="s">
        <v>382</v>
      </c>
      <c r="E1903">
        <v>0</v>
      </c>
      <c r="F1903" s="287"/>
      <c r="G1903" s="287"/>
      <c r="H1903" s="287"/>
      <c r="I1903" t="s">
        <v>382</v>
      </c>
      <c r="J1903" t="s">
        <v>42</v>
      </c>
    </row>
    <row r="1904" spans="1:10" x14ac:dyDescent="0.25">
      <c r="A1904" t="s">
        <v>390</v>
      </c>
      <c r="C1904" s="286">
        <v>42581.746203703704</v>
      </c>
      <c r="D1904" t="s">
        <v>382</v>
      </c>
      <c r="E1904">
        <v>0</v>
      </c>
      <c r="F1904" s="287"/>
      <c r="G1904" s="287"/>
      <c r="H1904" s="287"/>
      <c r="I1904" t="s">
        <v>382</v>
      </c>
      <c r="J1904" t="s">
        <v>42</v>
      </c>
    </row>
    <row r="1905" spans="1:10" x14ac:dyDescent="0.25">
      <c r="A1905" t="s">
        <v>390</v>
      </c>
      <c r="C1905" s="286">
        <v>42581.795532407406</v>
      </c>
      <c r="D1905" t="s">
        <v>382</v>
      </c>
      <c r="E1905">
        <v>0</v>
      </c>
      <c r="F1905" s="287"/>
      <c r="G1905" s="287"/>
      <c r="H1905" s="287"/>
      <c r="I1905" t="s">
        <v>382</v>
      </c>
      <c r="J1905" t="s">
        <v>42</v>
      </c>
    </row>
    <row r="1906" spans="1:10" x14ac:dyDescent="0.25">
      <c r="A1906" t="s">
        <v>390</v>
      </c>
      <c r="C1906" s="286">
        <v>42581.868125000001</v>
      </c>
      <c r="D1906" t="s">
        <v>382</v>
      </c>
      <c r="E1906">
        <v>0</v>
      </c>
      <c r="F1906" s="287"/>
      <c r="G1906" s="287"/>
      <c r="H1906" s="287"/>
      <c r="I1906" t="s">
        <v>382</v>
      </c>
      <c r="J1906" t="s">
        <v>42</v>
      </c>
    </row>
    <row r="1907" spans="1:10" x14ac:dyDescent="0.25">
      <c r="A1907" t="s">
        <v>388</v>
      </c>
      <c r="C1907" s="286">
        <v>42582.414444444446</v>
      </c>
      <c r="D1907" t="s">
        <v>382</v>
      </c>
      <c r="E1907">
        <v>0</v>
      </c>
      <c r="F1907" s="287"/>
      <c r="G1907" s="287"/>
      <c r="H1907" s="287"/>
      <c r="I1907" t="s">
        <v>382</v>
      </c>
      <c r="J1907" t="s">
        <v>42</v>
      </c>
    </row>
    <row r="1908" spans="1:10" x14ac:dyDescent="0.25">
      <c r="A1908" t="s">
        <v>410</v>
      </c>
      <c r="C1908" s="286">
        <v>42582.414710648147</v>
      </c>
      <c r="D1908" t="s">
        <v>382</v>
      </c>
      <c r="E1908">
        <v>0</v>
      </c>
      <c r="F1908" s="287"/>
      <c r="G1908" s="287"/>
      <c r="H1908" s="287"/>
      <c r="I1908" t="s">
        <v>382</v>
      </c>
      <c r="J1908" t="s">
        <v>42</v>
      </c>
    </row>
    <row r="1909" spans="1:10" x14ac:dyDescent="0.25">
      <c r="A1909" t="s">
        <v>407</v>
      </c>
      <c r="C1909" s="286">
        <v>42582.417407407411</v>
      </c>
      <c r="D1909" t="s">
        <v>382</v>
      </c>
      <c r="E1909">
        <v>0</v>
      </c>
      <c r="F1909" s="287"/>
      <c r="G1909" s="287"/>
      <c r="H1909" s="287"/>
      <c r="I1909" t="s">
        <v>382</v>
      </c>
      <c r="J1909" t="s">
        <v>42</v>
      </c>
    </row>
    <row r="1910" spans="1:10" x14ac:dyDescent="0.25">
      <c r="A1910" t="s">
        <v>407</v>
      </c>
      <c r="C1910" s="286">
        <v>42582.418356481481</v>
      </c>
      <c r="D1910" t="s">
        <v>382</v>
      </c>
      <c r="E1910">
        <v>0</v>
      </c>
      <c r="F1910" s="287"/>
      <c r="G1910" s="287"/>
      <c r="H1910" s="287"/>
      <c r="I1910" t="s">
        <v>382</v>
      </c>
      <c r="J1910" t="s">
        <v>42</v>
      </c>
    </row>
    <row r="1911" spans="1:10" x14ac:dyDescent="0.25">
      <c r="A1911" t="s">
        <v>407</v>
      </c>
      <c r="C1911" s="286">
        <v>42582.419178240743</v>
      </c>
      <c r="D1911" t="s">
        <v>382</v>
      </c>
      <c r="E1911">
        <v>0</v>
      </c>
      <c r="F1911" s="287"/>
      <c r="G1911" s="287"/>
      <c r="H1911" s="287"/>
      <c r="I1911" t="s">
        <v>382</v>
      </c>
      <c r="J1911" t="s">
        <v>42</v>
      </c>
    </row>
    <row r="1912" spans="1:10" x14ac:dyDescent="0.25">
      <c r="A1912" t="s">
        <v>388</v>
      </c>
      <c r="C1912" s="286">
        <v>42582.440335648149</v>
      </c>
      <c r="D1912" t="s">
        <v>382</v>
      </c>
      <c r="E1912">
        <v>0</v>
      </c>
      <c r="F1912" s="287"/>
      <c r="G1912" s="287"/>
      <c r="H1912" s="287"/>
      <c r="I1912" t="s">
        <v>382</v>
      </c>
      <c r="J1912" t="s">
        <v>42</v>
      </c>
    </row>
    <row r="1913" spans="1:10" x14ac:dyDescent="0.25">
      <c r="A1913" t="s">
        <v>390</v>
      </c>
      <c r="C1913" s="286">
        <v>42582.445370370369</v>
      </c>
      <c r="D1913" t="s">
        <v>382</v>
      </c>
      <c r="E1913">
        <v>0</v>
      </c>
      <c r="F1913" s="287"/>
      <c r="G1913" s="287"/>
      <c r="H1913" s="287"/>
      <c r="I1913" t="s">
        <v>382</v>
      </c>
      <c r="J1913" t="s">
        <v>42</v>
      </c>
    </row>
    <row r="1914" spans="1:10" x14ac:dyDescent="0.25">
      <c r="A1914" t="s">
        <v>390</v>
      </c>
      <c r="C1914" s="286">
        <v>42582.504016203704</v>
      </c>
      <c r="D1914" t="s">
        <v>382</v>
      </c>
      <c r="E1914">
        <v>0</v>
      </c>
      <c r="F1914" s="287"/>
      <c r="G1914" s="287"/>
      <c r="H1914" s="287"/>
      <c r="I1914" t="s">
        <v>382</v>
      </c>
      <c r="J1914" t="s">
        <v>42</v>
      </c>
    </row>
    <row r="1915" spans="1:10" x14ac:dyDescent="0.25">
      <c r="A1915" t="s">
        <v>390</v>
      </c>
      <c r="C1915" s="286">
        <v>42582.628923611112</v>
      </c>
      <c r="D1915" t="s">
        <v>382</v>
      </c>
      <c r="E1915">
        <v>0</v>
      </c>
      <c r="F1915" s="287"/>
      <c r="G1915" s="287"/>
      <c r="H1915" s="287"/>
      <c r="I1915" t="s">
        <v>382</v>
      </c>
      <c r="J1915" t="s">
        <v>42</v>
      </c>
    </row>
    <row r="1916" spans="1:10" x14ac:dyDescent="0.25">
      <c r="A1916" t="s">
        <v>390</v>
      </c>
      <c r="C1916" s="286">
        <v>42582.648275462961</v>
      </c>
      <c r="D1916" t="s">
        <v>382</v>
      </c>
      <c r="E1916">
        <v>0</v>
      </c>
      <c r="F1916" s="287"/>
      <c r="G1916" s="287"/>
      <c r="H1916" s="287"/>
      <c r="I1916" t="s">
        <v>382</v>
      </c>
      <c r="J1916" t="s">
        <v>42</v>
      </c>
    </row>
    <row r="1917" spans="1:10" x14ac:dyDescent="0.25">
      <c r="A1917" t="s">
        <v>390</v>
      </c>
      <c r="C1917" s="286">
        <v>42582.709699074076</v>
      </c>
      <c r="D1917" t="s">
        <v>382</v>
      </c>
      <c r="E1917">
        <v>0</v>
      </c>
      <c r="F1917" s="287"/>
      <c r="G1917" s="287"/>
      <c r="H1917" s="287"/>
      <c r="I1917" t="s">
        <v>382</v>
      </c>
      <c r="J1917" t="s">
        <v>42</v>
      </c>
    </row>
    <row r="1918" spans="1:10" x14ac:dyDescent="0.25">
      <c r="A1918" t="s">
        <v>390</v>
      </c>
      <c r="C1918" s="286">
        <v>42582.722349537034</v>
      </c>
      <c r="D1918" t="s">
        <v>382</v>
      </c>
      <c r="E1918">
        <v>0</v>
      </c>
      <c r="F1918" s="287"/>
      <c r="G1918" s="287"/>
      <c r="H1918" s="287"/>
      <c r="I1918" t="s">
        <v>382</v>
      </c>
      <c r="J1918" t="s">
        <v>42</v>
      </c>
    </row>
    <row r="1919" spans="1:10" x14ac:dyDescent="0.25">
      <c r="A1919" t="s">
        <v>390</v>
      </c>
      <c r="C1919" s="286">
        <v>42582.726701388892</v>
      </c>
      <c r="D1919" t="s">
        <v>382</v>
      </c>
      <c r="E1919">
        <v>0</v>
      </c>
      <c r="F1919" s="287"/>
      <c r="G1919" s="287"/>
      <c r="H1919" s="287"/>
      <c r="I1919" t="s">
        <v>382</v>
      </c>
      <c r="J1919" t="s">
        <v>42</v>
      </c>
    </row>
    <row r="1920" spans="1:10" x14ac:dyDescent="0.25">
      <c r="A1920" t="s">
        <v>390</v>
      </c>
      <c r="C1920" s="286">
        <v>42582.792997685188</v>
      </c>
      <c r="D1920" t="s">
        <v>382</v>
      </c>
      <c r="E1920">
        <v>0</v>
      </c>
      <c r="F1920" s="287"/>
      <c r="G1920" s="287"/>
      <c r="H1920" s="287"/>
      <c r="I1920" t="s">
        <v>382</v>
      </c>
      <c r="J1920" t="s">
        <v>42</v>
      </c>
    </row>
    <row r="1921" spans="1:10" x14ac:dyDescent="0.25">
      <c r="A1921" t="s">
        <v>390</v>
      </c>
      <c r="C1921" s="286">
        <v>42582.816562499997</v>
      </c>
      <c r="D1921" t="s">
        <v>382</v>
      </c>
      <c r="E1921">
        <v>0</v>
      </c>
      <c r="F1921" s="287"/>
      <c r="G1921" s="287"/>
      <c r="H1921" s="287"/>
      <c r="I1921" t="s">
        <v>382</v>
      </c>
      <c r="J1921" t="s">
        <v>42</v>
      </c>
    </row>
    <row r="1922" spans="1:10" x14ac:dyDescent="0.25">
      <c r="A1922" t="s">
        <v>390</v>
      </c>
      <c r="C1922" s="286">
        <v>42582.901365740741</v>
      </c>
      <c r="D1922" t="s">
        <v>382</v>
      </c>
      <c r="E1922">
        <v>0</v>
      </c>
      <c r="F1922" s="287"/>
      <c r="G1922" s="287"/>
      <c r="H1922" s="287"/>
      <c r="I1922" t="s">
        <v>382</v>
      </c>
      <c r="J1922" t="s">
        <v>42</v>
      </c>
    </row>
    <row r="1923" spans="1:10" x14ac:dyDescent="0.25">
      <c r="A1923" t="s">
        <v>390</v>
      </c>
      <c r="C1923" s="286">
        <v>42583.213958333334</v>
      </c>
      <c r="D1923" t="s">
        <v>382</v>
      </c>
      <c r="E1923">
        <v>0</v>
      </c>
      <c r="F1923" s="287"/>
      <c r="G1923" s="287"/>
      <c r="H1923" s="287"/>
      <c r="I1923" t="s">
        <v>382</v>
      </c>
      <c r="J1923" t="s">
        <v>42</v>
      </c>
    </row>
    <row r="1924" spans="1:10" x14ac:dyDescent="0.25">
      <c r="A1924" t="s">
        <v>390</v>
      </c>
      <c r="C1924" s="286">
        <v>42583.374722222223</v>
      </c>
      <c r="D1924" t="s">
        <v>382</v>
      </c>
      <c r="E1924">
        <v>0</v>
      </c>
      <c r="F1924" s="287"/>
      <c r="G1924" s="287"/>
      <c r="H1924" s="287"/>
      <c r="I1924" t="s">
        <v>382</v>
      </c>
      <c r="J1924" t="s">
        <v>42</v>
      </c>
    </row>
    <row r="1925" spans="1:10" x14ac:dyDescent="0.25">
      <c r="A1925" t="s">
        <v>390</v>
      </c>
      <c r="C1925" s="286">
        <v>42583.448761574073</v>
      </c>
      <c r="D1925" t="s">
        <v>382</v>
      </c>
      <c r="E1925">
        <v>0</v>
      </c>
      <c r="F1925" s="287"/>
      <c r="G1925" s="287"/>
      <c r="H1925" s="287"/>
      <c r="I1925" t="s">
        <v>382</v>
      </c>
      <c r="J1925" t="s">
        <v>42</v>
      </c>
    </row>
    <row r="1926" spans="1:10" x14ac:dyDescent="0.25">
      <c r="A1926" t="s">
        <v>390</v>
      </c>
      <c r="C1926" s="286">
        <v>42583.448807870373</v>
      </c>
      <c r="D1926" t="s">
        <v>382</v>
      </c>
      <c r="E1926">
        <v>0</v>
      </c>
      <c r="F1926" s="287"/>
      <c r="G1926" s="287"/>
      <c r="H1926" s="287"/>
      <c r="I1926" t="s">
        <v>382</v>
      </c>
      <c r="J1926" t="s">
        <v>42</v>
      </c>
    </row>
    <row r="1927" spans="1:10" x14ac:dyDescent="0.25">
      <c r="A1927" t="s">
        <v>390</v>
      </c>
      <c r="C1927" s="286">
        <v>42583.517650462964</v>
      </c>
      <c r="D1927" t="s">
        <v>382</v>
      </c>
      <c r="E1927">
        <v>0</v>
      </c>
      <c r="F1927" s="287"/>
      <c r="G1927" s="287"/>
      <c r="H1927" s="287"/>
      <c r="I1927" t="s">
        <v>382</v>
      </c>
      <c r="J1927" t="s">
        <v>42</v>
      </c>
    </row>
    <row r="1928" spans="1:10" x14ac:dyDescent="0.25">
      <c r="A1928" t="s">
        <v>390</v>
      </c>
      <c r="C1928" s="286">
        <v>42583.607569444444</v>
      </c>
      <c r="D1928" t="s">
        <v>382</v>
      </c>
      <c r="E1928">
        <v>0</v>
      </c>
      <c r="F1928" s="287"/>
      <c r="G1928" s="287"/>
      <c r="H1928" s="287"/>
      <c r="I1928" t="s">
        <v>382</v>
      </c>
      <c r="J1928" t="s">
        <v>42</v>
      </c>
    </row>
    <row r="1929" spans="1:10" x14ac:dyDescent="0.25">
      <c r="A1929" t="s">
        <v>390</v>
      </c>
      <c r="C1929" s="286">
        <v>42583.610405092593</v>
      </c>
      <c r="D1929" t="s">
        <v>382</v>
      </c>
      <c r="E1929">
        <v>0</v>
      </c>
      <c r="F1929" s="287"/>
      <c r="G1929" s="287"/>
      <c r="H1929" s="287"/>
      <c r="I1929" t="s">
        <v>382</v>
      </c>
      <c r="J1929" t="s">
        <v>42</v>
      </c>
    </row>
    <row r="1930" spans="1:10" x14ac:dyDescent="0.25">
      <c r="A1930" t="s">
        <v>390</v>
      </c>
      <c r="C1930" s="286">
        <v>42583.613391203704</v>
      </c>
      <c r="D1930" t="s">
        <v>382</v>
      </c>
      <c r="E1930">
        <v>0</v>
      </c>
      <c r="F1930" s="287"/>
      <c r="G1930" s="287"/>
      <c r="H1930" s="287"/>
      <c r="I1930" t="s">
        <v>382</v>
      </c>
      <c r="J1930" t="s">
        <v>42</v>
      </c>
    </row>
    <row r="1931" spans="1:10" x14ac:dyDescent="0.25">
      <c r="A1931" t="s">
        <v>390</v>
      </c>
      <c r="C1931" s="286">
        <v>42583.629537037035</v>
      </c>
      <c r="D1931" t="s">
        <v>382</v>
      </c>
      <c r="E1931">
        <v>0</v>
      </c>
      <c r="F1931" s="287"/>
      <c r="G1931" s="287"/>
      <c r="H1931" s="287"/>
      <c r="I1931" t="s">
        <v>382</v>
      </c>
      <c r="J1931" t="s">
        <v>42</v>
      </c>
    </row>
    <row r="1932" spans="1:10" x14ac:dyDescent="0.25">
      <c r="A1932" t="s">
        <v>390</v>
      </c>
      <c r="C1932" s="286">
        <v>42583.649155092593</v>
      </c>
      <c r="D1932" t="s">
        <v>382</v>
      </c>
      <c r="E1932">
        <v>0</v>
      </c>
      <c r="F1932" s="287"/>
      <c r="G1932" s="287"/>
      <c r="H1932" s="287"/>
      <c r="I1932" t="s">
        <v>382</v>
      </c>
      <c r="J1932" t="s">
        <v>42</v>
      </c>
    </row>
    <row r="1933" spans="1:10" x14ac:dyDescent="0.25">
      <c r="A1933" t="s">
        <v>390</v>
      </c>
      <c r="C1933" s="286">
        <v>42583.652106481481</v>
      </c>
      <c r="D1933" t="s">
        <v>382</v>
      </c>
      <c r="E1933">
        <v>0</v>
      </c>
      <c r="F1933" s="287"/>
      <c r="G1933" s="287"/>
      <c r="H1933" s="287"/>
      <c r="I1933" t="s">
        <v>382</v>
      </c>
      <c r="J1933" t="s">
        <v>42</v>
      </c>
    </row>
    <row r="1934" spans="1:10" x14ac:dyDescent="0.25">
      <c r="A1934" t="s">
        <v>390</v>
      </c>
      <c r="C1934" s="286">
        <v>42583.669571759259</v>
      </c>
      <c r="D1934" t="s">
        <v>382</v>
      </c>
      <c r="E1934">
        <v>0</v>
      </c>
      <c r="F1934" s="287"/>
      <c r="G1934" s="287"/>
      <c r="H1934" s="287"/>
      <c r="I1934" t="s">
        <v>382</v>
      </c>
      <c r="J1934" t="s">
        <v>42</v>
      </c>
    </row>
    <row r="1935" spans="1:10" x14ac:dyDescent="0.25">
      <c r="A1935" t="s">
        <v>390</v>
      </c>
      <c r="C1935" s="286">
        <v>42583.746539351851</v>
      </c>
      <c r="D1935" t="s">
        <v>382</v>
      </c>
      <c r="E1935">
        <v>0</v>
      </c>
      <c r="F1935" s="287"/>
      <c r="G1935" s="287"/>
      <c r="H1935" s="287"/>
      <c r="I1935" t="s">
        <v>382</v>
      </c>
      <c r="J1935" t="s">
        <v>42</v>
      </c>
    </row>
    <row r="1936" spans="1:10" x14ac:dyDescent="0.25">
      <c r="A1936" t="s">
        <v>390</v>
      </c>
      <c r="C1936" s="286">
        <v>42583.772928240738</v>
      </c>
      <c r="D1936" t="s">
        <v>382</v>
      </c>
      <c r="E1936">
        <v>0</v>
      </c>
      <c r="F1936" s="287"/>
      <c r="G1936" s="287"/>
      <c r="H1936" s="287"/>
      <c r="I1936" t="s">
        <v>382</v>
      </c>
      <c r="J1936" t="s">
        <v>42</v>
      </c>
    </row>
    <row r="1937" spans="1:10" x14ac:dyDescent="0.25">
      <c r="A1937" t="s">
        <v>390</v>
      </c>
      <c r="C1937" s="286">
        <v>42583.783125000002</v>
      </c>
      <c r="D1937" t="s">
        <v>382</v>
      </c>
      <c r="E1937">
        <v>0</v>
      </c>
      <c r="F1937" s="287"/>
      <c r="G1937" s="287"/>
      <c r="H1937" s="287"/>
      <c r="I1937" t="s">
        <v>382</v>
      </c>
      <c r="J1937" t="s">
        <v>42</v>
      </c>
    </row>
    <row r="1938" spans="1:10" x14ac:dyDescent="0.25">
      <c r="A1938" t="s">
        <v>390</v>
      </c>
      <c r="C1938" s="286">
        <v>42583.795173611114</v>
      </c>
      <c r="D1938" t="s">
        <v>382</v>
      </c>
      <c r="E1938">
        <v>0</v>
      </c>
      <c r="F1938" s="287"/>
      <c r="G1938" s="287"/>
      <c r="H1938" s="287"/>
      <c r="I1938" t="s">
        <v>382</v>
      </c>
      <c r="J1938" t="s">
        <v>42</v>
      </c>
    </row>
    <row r="1939" spans="1:10" x14ac:dyDescent="0.25">
      <c r="A1939" t="s">
        <v>442</v>
      </c>
      <c r="C1939" s="286">
        <v>42583.811076388891</v>
      </c>
      <c r="D1939" t="s">
        <v>382</v>
      </c>
      <c r="E1939">
        <v>0</v>
      </c>
      <c r="F1939" s="287"/>
      <c r="G1939" s="287"/>
      <c r="H1939" s="287"/>
      <c r="I1939" t="s">
        <v>382</v>
      </c>
      <c r="J1939" t="s">
        <v>42</v>
      </c>
    </row>
    <row r="1940" spans="1:10" x14ac:dyDescent="0.25">
      <c r="A1940" t="s">
        <v>442</v>
      </c>
      <c r="C1940" s="286">
        <v>42583.811354166668</v>
      </c>
      <c r="D1940" t="s">
        <v>382</v>
      </c>
      <c r="E1940">
        <v>0</v>
      </c>
      <c r="F1940" s="287"/>
      <c r="G1940" s="287"/>
      <c r="H1940" s="287"/>
      <c r="I1940" t="s">
        <v>382</v>
      </c>
      <c r="J1940" t="s">
        <v>42</v>
      </c>
    </row>
    <row r="1941" spans="1:10" x14ac:dyDescent="0.25">
      <c r="A1941" t="s">
        <v>442</v>
      </c>
      <c r="C1941" s="286">
        <v>42583.811388888891</v>
      </c>
      <c r="D1941" t="s">
        <v>382</v>
      </c>
      <c r="E1941">
        <v>0</v>
      </c>
      <c r="F1941" s="287"/>
      <c r="G1941" s="287"/>
      <c r="H1941" s="287"/>
      <c r="I1941" t="s">
        <v>382</v>
      </c>
      <c r="J1941" t="s">
        <v>42</v>
      </c>
    </row>
    <row r="1942" spans="1:10" x14ac:dyDescent="0.25">
      <c r="A1942" t="s">
        <v>442</v>
      </c>
      <c r="C1942" s="286">
        <v>42583.837187500001</v>
      </c>
      <c r="D1942" t="s">
        <v>382</v>
      </c>
      <c r="E1942">
        <v>0</v>
      </c>
      <c r="F1942" s="287"/>
      <c r="G1942" s="287"/>
      <c r="H1942" s="287"/>
      <c r="I1942" t="s">
        <v>382</v>
      </c>
      <c r="J1942" t="s">
        <v>42</v>
      </c>
    </row>
    <row r="1943" spans="1:10" x14ac:dyDescent="0.25">
      <c r="A1943" t="s">
        <v>442</v>
      </c>
      <c r="C1943" s="286">
        <v>42583.83730324074</v>
      </c>
      <c r="D1943" t="s">
        <v>382</v>
      </c>
      <c r="E1943">
        <v>0</v>
      </c>
      <c r="F1943" s="287"/>
      <c r="G1943" s="287"/>
      <c r="H1943" s="287"/>
      <c r="I1943" t="s">
        <v>382</v>
      </c>
      <c r="J1943" t="s">
        <v>42</v>
      </c>
    </row>
    <row r="1944" spans="1:10" x14ac:dyDescent="0.25">
      <c r="A1944" t="s">
        <v>442</v>
      </c>
      <c r="C1944" s="286">
        <v>42583.83761574074</v>
      </c>
      <c r="D1944" t="s">
        <v>382</v>
      </c>
      <c r="E1944">
        <v>0</v>
      </c>
      <c r="F1944" s="287"/>
      <c r="G1944" s="287"/>
      <c r="H1944" s="287"/>
      <c r="I1944" t="s">
        <v>382</v>
      </c>
      <c r="J1944" t="s">
        <v>42</v>
      </c>
    </row>
    <row r="1945" spans="1:10" x14ac:dyDescent="0.25">
      <c r="A1945" t="s">
        <v>390</v>
      </c>
      <c r="C1945" s="286">
        <v>42583.84175925926</v>
      </c>
      <c r="D1945" t="s">
        <v>382</v>
      </c>
      <c r="E1945">
        <v>0</v>
      </c>
      <c r="F1945" s="287"/>
      <c r="G1945" s="287"/>
      <c r="H1945" s="287"/>
      <c r="I1945" t="s">
        <v>382</v>
      </c>
      <c r="J1945" t="s">
        <v>42</v>
      </c>
    </row>
    <row r="1946" spans="1:10" x14ac:dyDescent="0.25">
      <c r="A1946" t="s">
        <v>390</v>
      </c>
      <c r="C1946" s="286">
        <v>42583.943553240744</v>
      </c>
      <c r="D1946" t="s">
        <v>382</v>
      </c>
      <c r="E1946">
        <v>0</v>
      </c>
      <c r="F1946" s="287"/>
      <c r="G1946" s="287"/>
      <c r="H1946" s="287"/>
      <c r="I1946" t="s">
        <v>382</v>
      </c>
      <c r="J1946" t="s">
        <v>42</v>
      </c>
    </row>
    <row r="1947" spans="1:10" x14ac:dyDescent="0.25">
      <c r="A1947" t="s">
        <v>390</v>
      </c>
      <c r="C1947" s="286">
        <v>42583.972777777781</v>
      </c>
      <c r="D1947" t="s">
        <v>382</v>
      </c>
      <c r="E1947">
        <v>0</v>
      </c>
      <c r="F1947" s="287"/>
      <c r="G1947" s="287"/>
      <c r="H1947" s="287"/>
      <c r="I1947" t="s">
        <v>382</v>
      </c>
      <c r="J1947" t="s">
        <v>42</v>
      </c>
    </row>
    <row r="1948" spans="1:10" x14ac:dyDescent="0.25">
      <c r="A1948" t="s">
        <v>390</v>
      </c>
      <c r="C1948" s="286">
        <v>42583.994525462964</v>
      </c>
      <c r="D1948" t="s">
        <v>382</v>
      </c>
      <c r="E1948">
        <v>0</v>
      </c>
      <c r="F1948" s="287"/>
      <c r="G1948" s="287"/>
      <c r="H1948" s="287"/>
      <c r="I1948" t="s">
        <v>382</v>
      </c>
      <c r="J1948" t="s">
        <v>42</v>
      </c>
    </row>
    <row r="1949" spans="1:10" x14ac:dyDescent="0.25">
      <c r="A1949" t="s">
        <v>390</v>
      </c>
      <c r="C1949" s="286">
        <v>42584.024421296293</v>
      </c>
      <c r="D1949" t="s">
        <v>382</v>
      </c>
      <c r="E1949">
        <v>0</v>
      </c>
      <c r="F1949" s="287"/>
      <c r="G1949" s="287"/>
      <c r="H1949" s="287"/>
      <c r="I1949" t="s">
        <v>382</v>
      </c>
      <c r="J1949" t="s">
        <v>42</v>
      </c>
    </row>
    <row r="1950" spans="1:10" x14ac:dyDescent="0.25">
      <c r="A1950" t="s">
        <v>390</v>
      </c>
      <c r="C1950" s="286">
        <v>42584.376782407409</v>
      </c>
      <c r="D1950" t="s">
        <v>382</v>
      </c>
      <c r="E1950">
        <v>0</v>
      </c>
      <c r="F1950" s="287"/>
      <c r="G1950" s="287"/>
      <c r="H1950" s="287"/>
      <c r="I1950" t="s">
        <v>382</v>
      </c>
      <c r="J1950" t="s">
        <v>42</v>
      </c>
    </row>
    <row r="1951" spans="1:10" x14ac:dyDescent="0.25">
      <c r="A1951" t="s">
        <v>390</v>
      </c>
      <c r="C1951" s="286">
        <v>42584.420659722222</v>
      </c>
      <c r="D1951" t="s">
        <v>382</v>
      </c>
      <c r="E1951">
        <v>0</v>
      </c>
      <c r="F1951" s="287"/>
      <c r="G1951" s="287"/>
      <c r="H1951" s="287"/>
      <c r="I1951" t="s">
        <v>382</v>
      </c>
      <c r="J1951" t="s">
        <v>42</v>
      </c>
    </row>
    <row r="1952" spans="1:10" x14ac:dyDescent="0.25">
      <c r="A1952" t="s">
        <v>390</v>
      </c>
      <c r="C1952" s="286">
        <v>42584.433506944442</v>
      </c>
      <c r="D1952" t="s">
        <v>382</v>
      </c>
      <c r="E1952">
        <v>0</v>
      </c>
      <c r="F1952" s="287"/>
      <c r="G1952" s="287"/>
      <c r="H1952" s="287"/>
      <c r="I1952" t="s">
        <v>382</v>
      </c>
      <c r="J1952" t="s">
        <v>42</v>
      </c>
    </row>
    <row r="1953" spans="1:10" x14ac:dyDescent="0.25">
      <c r="A1953" t="s">
        <v>414</v>
      </c>
      <c r="C1953" s="286">
        <v>42584.494641203702</v>
      </c>
      <c r="D1953" t="s">
        <v>382</v>
      </c>
      <c r="E1953">
        <v>0</v>
      </c>
      <c r="F1953" s="287"/>
      <c r="G1953" s="287"/>
      <c r="H1953" s="287"/>
      <c r="I1953" t="s">
        <v>382</v>
      </c>
      <c r="J1953" t="s">
        <v>42</v>
      </c>
    </row>
    <row r="1954" spans="1:10" x14ac:dyDescent="0.25">
      <c r="A1954" t="s">
        <v>390</v>
      </c>
      <c r="C1954" s="286">
        <v>42584.526087962964</v>
      </c>
      <c r="D1954" t="s">
        <v>382</v>
      </c>
      <c r="E1954">
        <v>0</v>
      </c>
      <c r="F1954" s="287"/>
      <c r="G1954" s="287"/>
      <c r="H1954" s="287"/>
      <c r="I1954" t="s">
        <v>382</v>
      </c>
      <c r="J1954" t="s">
        <v>42</v>
      </c>
    </row>
    <row r="1955" spans="1:10" x14ac:dyDescent="0.25">
      <c r="A1955" t="s">
        <v>390</v>
      </c>
      <c r="C1955" s="286">
        <v>42584.62773148148</v>
      </c>
      <c r="D1955" t="s">
        <v>382</v>
      </c>
      <c r="E1955">
        <v>0</v>
      </c>
      <c r="F1955" s="287"/>
      <c r="G1955" s="287"/>
      <c r="H1955" s="287"/>
      <c r="I1955" t="s">
        <v>382</v>
      </c>
      <c r="J1955" t="s">
        <v>42</v>
      </c>
    </row>
    <row r="1956" spans="1:10" x14ac:dyDescent="0.25">
      <c r="A1956" t="s">
        <v>390</v>
      </c>
      <c r="C1956" s="286">
        <v>42584.687893518516</v>
      </c>
      <c r="D1956" t="s">
        <v>382</v>
      </c>
      <c r="E1956">
        <v>0</v>
      </c>
      <c r="F1956" s="287"/>
      <c r="G1956" s="287"/>
      <c r="H1956" s="287"/>
      <c r="I1956" t="s">
        <v>382</v>
      </c>
      <c r="J1956" t="s">
        <v>42</v>
      </c>
    </row>
    <row r="1957" spans="1:10" x14ac:dyDescent="0.25">
      <c r="A1957" t="s">
        <v>390</v>
      </c>
      <c r="C1957" s="286">
        <v>42584.797465277778</v>
      </c>
      <c r="D1957" t="s">
        <v>382</v>
      </c>
      <c r="E1957">
        <v>0</v>
      </c>
      <c r="F1957" s="287"/>
      <c r="G1957" s="287"/>
      <c r="H1957" s="287"/>
      <c r="I1957" t="s">
        <v>382</v>
      </c>
      <c r="J1957" t="s">
        <v>42</v>
      </c>
    </row>
    <row r="1958" spans="1:10" x14ac:dyDescent="0.25">
      <c r="A1958" t="s">
        <v>390</v>
      </c>
      <c r="C1958" s="286">
        <v>42585.034780092596</v>
      </c>
      <c r="D1958" t="s">
        <v>382</v>
      </c>
      <c r="E1958">
        <v>0</v>
      </c>
      <c r="F1958" s="287"/>
      <c r="G1958" s="287"/>
      <c r="H1958" s="287"/>
      <c r="I1958" t="s">
        <v>382</v>
      </c>
      <c r="J1958" t="s">
        <v>42</v>
      </c>
    </row>
    <row r="1959" spans="1:10" x14ac:dyDescent="0.25">
      <c r="A1959" t="s">
        <v>390</v>
      </c>
      <c r="C1959" s="286">
        <v>42585.431805555556</v>
      </c>
      <c r="D1959" t="s">
        <v>382</v>
      </c>
      <c r="E1959">
        <v>0</v>
      </c>
      <c r="F1959" s="287"/>
      <c r="G1959" s="287"/>
      <c r="H1959" s="287"/>
      <c r="I1959" t="s">
        <v>382</v>
      </c>
      <c r="J1959" t="s">
        <v>42</v>
      </c>
    </row>
    <row r="1960" spans="1:10" x14ac:dyDescent="0.25">
      <c r="A1960" t="s">
        <v>390</v>
      </c>
      <c r="C1960" s="286">
        <v>42585.524085648147</v>
      </c>
      <c r="D1960" t="s">
        <v>382</v>
      </c>
      <c r="E1960">
        <v>0</v>
      </c>
      <c r="F1960" s="287"/>
      <c r="G1960" s="287"/>
      <c r="H1960" s="287"/>
      <c r="I1960" t="s">
        <v>382</v>
      </c>
      <c r="J1960" t="s">
        <v>42</v>
      </c>
    </row>
    <row r="1961" spans="1:10" x14ac:dyDescent="0.25">
      <c r="A1961" t="s">
        <v>390</v>
      </c>
      <c r="C1961" s="286">
        <v>42585.562280092592</v>
      </c>
      <c r="D1961" t="s">
        <v>382</v>
      </c>
      <c r="E1961">
        <v>0</v>
      </c>
      <c r="F1961" s="287"/>
      <c r="G1961" s="287"/>
      <c r="H1961" s="287"/>
      <c r="I1961" t="s">
        <v>382</v>
      </c>
      <c r="J1961" t="s">
        <v>42</v>
      </c>
    </row>
    <row r="1962" spans="1:10" x14ac:dyDescent="0.25">
      <c r="A1962" t="s">
        <v>390</v>
      </c>
      <c r="C1962" s="286">
        <v>42585.603564814817</v>
      </c>
      <c r="D1962" t="s">
        <v>382</v>
      </c>
      <c r="E1962">
        <v>0</v>
      </c>
      <c r="F1962" s="287"/>
      <c r="G1962" s="287"/>
      <c r="H1962" s="287"/>
      <c r="I1962" t="s">
        <v>382</v>
      </c>
      <c r="J1962" t="s">
        <v>42</v>
      </c>
    </row>
    <row r="1963" spans="1:10" x14ac:dyDescent="0.25">
      <c r="A1963" t="s">
        <v>390</v>
      </c>
      <c r="C1963" s="286">
        <v>42585.62605324074</v>
      </c>
      <c r="D1963" t="s">
        <v>382</v>
      </c>
      <c r="E1963">
        <v>0</v>
      </c>
      <c r="F1963" s="287"/>
      <c r="G1963" s="287"/>
      <c r="H1963" s="287"/>
      <c r="I1963" t="s">
        <v>382</v>
      </c>
      <c r="J1963" t="s">
        <v>42</v>
      </c>
    </row>
    <row r="1964" spans="1:10" x14ac:dyDescent="0.25">
      <c r="A1964" t="s">
        <v>390</v>
      </c>
      <c r="C1964" s="286">
        <v>42585.757453703707</v>
      </c>
      <c r="D1964" t="s">
        <v>382</v>
      </c>
      <c r="E1964">
        <v>0</v>
      </c>
      <c r="F1964" s="287"/>
      <c r="G1964" s="287"/>
      <c r="H1964" s="287"/>
      <c r="I1964" t="s">
        <v>382</v>
      </c>
      <c r="J1964" t="s">
        <v>42</v>
      </c>
    </row>
    <row r="1965" spans="1:10" x14ac:dyDescent="0.25">
      <c r="A1965" t="s">
        <v>390</v>
      </c>
      <c r="C1965" s="286">
        <v>42585.7575462963</v>
      </c>
      <c r="D1965" t="s">
        <v>382</v>
      </c>
      <c r="E1965">
        <v>0</v>
      </c>
      <c r="F1965" s="287"/>
      <c r="G1965" s="287"/>
      <c r="H1965" s="287"/>
      <c r="I1965" t="s">
        <v>382</v>
      </c>
      <c r="J1965" t="s">
        <v>42</v>
      </c>
    </row>
    <row r="1966" spans="1:10" x14ac:dyDescent="0.25">
      <c r="A1966" t="s">
        <v>390</v>
      </c>
      <c r="C1966" s="286">
        <v>42585.757650462961</v>
      </c>
      <c r="D1966" t="s">
        <v>382</v>
      </c>
      <c r="E1966">
        <v>0</v>
      </c>
      <c r="F1966" s="287"/>
      <c r="G1966" s="287"/>
      <c r="H1966" s="287"/>
      <c r="I1966" t="s">
        <v>382</v>
      </c>
      <c r="J1966" t="s">
        <v>42</v>
      </c>
    </row>
    <row r="1967" spans="1:10" x14ac:dyDescent="0.25">
      <c r="A1967" t="s">
        <v>390</v>
      </c>
      <c r="C1967" s="286">
        <v>42585.758564814816</v>
      </c>
      <c r="D1967" t="s">
        <v>382</v>
      </c>
      <c r="E1967">
        <v>0</v>
      </c>
      <c r="F1967" s="287"/>
      <c r="G1967" s="287"/>
      <c r="H1967" s="287"/>
      <c r="I1967" t="s">
        <v>382</v>
      </c>
      <c r="J1967" t="s">
        <v>42</v>
      </c>
    </row>
    <row r="1968" spans="1:10" x14ac:dyDescent="0.25">
      <c r="A1968" t="s">
        <v>390</v>
      </c>
      <c r="C1968" s="286">
        <v>42585.804282407407</v>
      </c>
      <c r="D1968" t="s">
        <v>382</v>
      </c>
      <c r="E1968">
        <v>0</v>
      </c>
      <c r="F1968" s="287"/>
      <c r="G1968" s="287"/>
      <c r="H1968" s="287"/>
      <c r="I1968" t="s">
        <v>382</v>
      </c>
      <c r="J1968" t="s">
        <v>42</v>
      </c>
    </row>
    <row r="1969" spans="1:10" x14ac:dyDescent="0.25">
      <c r="A1969" t="s">
        <v>390</v>
      </c>
      <c r="C1969" s="286">
        <v>42585.85328703704</v>
      </c>
      <c r="D1969" t="s">
        <v>382</v>
      </c>
      <c r="E1969">
        <v>0</v>
      </c>
      <c r="F1969" s="287"/>
      <c r="G1969" s="287"/>
      <c r="H1969" s="287"/>
      <c r="I1969" t="s">
        <v>382</v>
      </c>
      <c r="J1969" t="s">
        <v>42</v>
      </c>
    </row>
    <row r="1970" spans="1:10" x14ac:dyDescent="0.25">
      <c r="A1970" t="s">
        <v>390</v>
      </c>
      <c r="C1970" s="286">
        <v>42585.917557870373</v>
      </c>
      <c r="D1970" t="s">
        <v>382</v>
      </c>
      <c r="E1970">
        <v>0</v>
      </c>
      <c r="F1970" s="287"/>
      <c r="G1970" s="287"/>
      <c r="H1970" s="287"/>
      <c r="I1970" t="s">
        <v>382</v>
      </c>
      <c r="J1970" t="s">
        <v>42</v>
      </c>
    </row>
    <row r="1971" spans="1:10" x14ac:dyDescent="0.25">
      <c r="A1971" t="s">
        <v>390</v>
      </c>
      <c r="C1971" s="286">
        <v>42586.054143518515</v>
      </c>
      <c r="D1971" t="s">
        <v>382</v>
      </c>
      <c r="E1971">
        <v>0</v>
      </c>
      <c r="F1971" s="287"/>
      <c r="G1971" s="287"/>
      <c r="H1971" s="287"/>
      <c r="I1971" t="s">
        <v>382</v>
      </c>
      <c r="J1971" t="s">
        <v>42</v>
      </c>
    </row>
    <row r="1972" spans="1:10" x14ac:dyDescent="0.25">
      <c r="A1972" t="s">
        <v>390</v>
      </c>
      <c r="C1972" s="286">
        <v>42586.140636574077</v>
      </c>
      <c r="D1972" t="s">
        <v>382</v>
      </c>
      <c r="E1972">
        <v>0</v>
      </c>
      <c r="F1972" s="287"/>
      <c r="G1972" s="287"/>
      <c r="H1972" s="287"/>
      <c r="I1972" t="s">
        <v>382</v>
      </c>
      <c r="J1972" t="s">
        <v>42</v>
      </c>
    </row>
    <row r="1973" spans="1:10" x14ac:dyDescent="0.25">
      <c r="A1973" t="s">
        <v>390</v>
      </c>
      <c r="C1973" s="286">
        <v>42586.18414351852</v>
      </c>
      <c r="D1973" t="s">
        <v>382</v>
      </c>
      <c r="E1973">
        <v>0</v>
      </c>
      <c r="F1973" s="287"/>
      <c r="G1973" s="287"/>
      <c r="H1973" s="287"/>
      <c r="I1973" t="s">
        <v>382</v>
      </c>
      <c r="J1973" t="s">
        <v>42</v>
      </c>
    </row>
    <row r="1974" spans="1:10" x14ac:dyDescent="0.25">
      <c r="A1974" t="s">
        <v>390</v>
      </c>
      <c r="C1974" s="286">
        <v>42586.418888888889</v>
      </c>
      <c r="D1974" t="s">
        <v>382</v>
      </c>
      <c r="E1974">
        <v>0</v>
      </c>
      <c r="F1974" s="287"/>
      <c r="G1974" s="287"/>
      <c r="H1974" s="287"/>
      <c r="I1974" t="s">
        <v>382</v>
      </c>
      <c r="J1974" t="s">
        <v>42</v>
      </c>
    </row>
    <row r="1975" spans="1:10" x14ac:dyDescent="0.25">
      <c r="A1975" t="s">
        <v>390</v>
      </c>
      <c r="C1975" s="286">
        <v>42586.50990740741</v>
      </c>
      <c r="D1975" t="s">
        <v>382</v>
      </c>
      <c r="E1975">
        <v>0</v>
      </c>
      <c r="F1975" s="287"/>
      <c r="G1975" s="287"/>
      <c r="H1975" s="287"/>
      <c r="I1975" t="s">
        <v>382</v>
      </c>
      <c r="J1975" t="s">
        <v>42</v>
      </c>
    </row>
    <row r="1976" spans="1:10" x14ac:dyDescent="0.25">
      <c r="A1976" t="s">
        <v>390</v>
      </c>
      <c r="C1976" s="286">
        <v>42586.543055555558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9B440-8FA5-4E0A-A689-6D35E8A22901}">
  <sheetPr codeName="Foglio9"/>
  <dimension ref="A1:J57"/>
  <sheetViews>
    <sheetView workbookViewId="0">
      <selection activeCell="E16" sqref="E16"/>
    </sheetView>
  </sheetViews>
  <sheetFormatPr defaultRowHeight="15" x14ac:dyDescent="0.25"/>
  <cols>
    <col min="1" max="1" width="34" bestFit="1" customWidth="1"/>
    <col min="2" max="2" width="11.8554687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152</v>
      </c>
      <c r="B2" t="s">
        <v>223</v>
      </c>
      <c r="C2" s="286">
        <v>45184.374259259261</v>
      </c>
      <c r="D2">
        <v>196710</v>
      </c>
      <c r="E2">
        <v>35239</v>
      </c>
      <c r="F2" s="287">
        <v>5</v>
      </c>
      <c r="G2">
        <v>89</v>
      </c>
      <c r="H2">
        <v>69</v>
      </c>
      <c r="I2">
        <v>67</v>
      </c>
      <c r="J2">
        <v>2</v>
      </c>
    </row>
    <row r="3" spans="1:10" x14ac:dyDescent="0.25">
      <c r="A3" t="s">
        <v>184</v>
      </c>
      <c r="B3" t="s">
        <v>224</v>
      </c>
      <c r="C3" s="286">
        <v>45180.582499999997</v>
      </c>
      <c r="D3">
        <v>14685</v>
      </c>
      <c r="E3">
        <v>20253</v>
      </c>
      <c r="F3" s="287">
        <v>5</v>
      </c>
      <c r="G3">
        <v>16</v>
      </c>
      <c r="H3">
        <v>12</v>
      </c>
      <c r="I3">
        <v>37</v>
      </c>
      <c r="J3">
        <v>3</v>
      </c>
    </row>
    <row r="4" spans="1:10" x14ac:dyDescent="0.25">
      <c r="A4" t="s">
        <v>205</v>
      </c>
      <c r="B4" t="s">
        <v>225</v>
      </c>
      <c r="C4" s="286">
        <v>45170.002060185187</v>
      </c>
      <c r="D4">
        <v>19547</v>
      </c>
      <c r="E4">
        <v>16093</v>
      </c>
      <c r="F4">
        <v>52</v>
      </c>
      <c r="G4">
        <v>56</v>
      </c>
      <c r="H4">
        <v>53</v>
      </c>
      <c r="I4">
        <v>65</v>
      </c>
      <c r="J4">
        <v>4</v>
      </c>
    </row>
    <row r="5" spans="1:10" x14ac:dyDescent="0.25">
      <c r="A5" t="s">
        <v>154</v>
      </c>
      <c r="B5" t="s">
        <v>228</v>
      </c>
      <c r="C5" s="286">
        <v>45177.751932870371</v>
      </c>
      <c r="D5">
        <v>106567</v>
      </c>
      <c r="E5">
        <v>24869</v>
      </c>
      <c r="F5">
        <v>49</v>
      </c>
      <c r="G5">
        <v>57</v>
      </c>
      <c r="H5">
        <v>29</v>
      </c>
      <c r="I5">
        <v>79</v>
      </c>
      <c r="J5">
        <v>5</v>
      </c>
    </row>
    <row r="6" spans="1:10" x14ac:dyDescent="0.25">
      <c r="A6" t="s">
        <v>153</v>
      </c>
      <c r="B6" t="s">
        <v>233</v>
      </c>
      <c r="C6" s="286">
        <v>45178.041967592595</v>
      </c>
      <c r="D6">
        <v>29934</v>
      </c>
      <c r="E6">
        <v>0</v>
      </c>
      <c r="F6" s="287"/>
      <c r="G6" s="287"/>
      <c r="H6" s="287"/>
      <c r="I6">
        <v>16</v>
      </c>
      <c r="J6">
        <v>8</v>
      </c>
    </row>
    <row r="7" spans="1:10" x14ac:dyDescent="0.25">
      <c r="A7" t="s">
        <v>157</v>
      </c>
      <c r="B7" t="s">
        <v>234</v>
      </c>
      <c r="C7" s="286">
        <v>45184.384837962964</v>
      </c>
      <c r="D7">
        <v>102367</v>
      </c>
      <c r="E7">
        <v>33033</v>
      </c>
      <c r="F7">
        <v>11</v>
      </c>
      <c r="G7">
        <v>98</v>
      </c>
      <c r="H7" s="287">
        <v>7</v>
      </c>
      <c r="I7">
        <v>78</v>
      </c>
      <c r="J7">
        <v>9</v>
      </c>
    </row>
    <row r="8" spans="1:10" x14ac:dyDescent="0.25">
      <c r="A8" t="s">
        <v>158</v>
      </c>
      <c r="B8" t="s">
        <v>235</v>
      </c>
      <c r="C8" s="286">
        <v>45180.289421296293</v>
      </c>
      <c r="D8">
        <v>133729</v>
      </c>
      <c r="E8">
        <v>19300</v>
      </c>
      <c r="F8" s="287">
        <v>5</v>
      </c>
      <c r="G8" s="287">
        <v>9</v>
      </c>
      <c r="H8" s="287">
        <v>8</v>
      </c>
      <c r="I8">
        <v>21</v>
      </c>
      <c r="J8">
        <v>10</v>
      </c>
    </row>
    <row r="9" spans="1:10" x14ac:dyDescent="0.25">
      <c r="A9" t="s">
        <v>176</v>
      </c>
      <c r="B9" t="s">
        <v>236</v>
      </c>
      <c r="C9" s="286">
        <v>45179.9608912037</v>
      </c>
      <c r="D9">
        <v>31685</v>
      </c>
      <c r="E9">
        <v>4749</v>
      </c>
      <c r="F9">
        <v>68</v>
      </c>
      <c r="G9">
        <v>69</v>
      </c>
      <c r="H9">
        <v>64</v>
      </c>
      <c r="I9">
        <v>30</v>
      </c>
      <c r="J9">
        <v>11</v>
      </c>
    </row>
    <row r="10" spans="1:10" x14ac:dyDescent="0.25">
      <c r="A10" t="s">
        <v>203</v>
      </c>
      <c r="B10" t="s">
        <v>238</v>
      </c>
      <c r="C10" s="286">
        <v>45158.001863425925</v>
      </c>
      <c r="D10">
        <v>42820</v>
      </c>
      <c r="E10">
        <v>14846</v>
      </c>
      <c r="F10">
        <v>38</v>
      </c>
      <c r="G10">
        <v>40</v>
      </c>
      <c r="H10">
        <v>35</v>
      </c>
      <c r="I10">
        <v>72</v>
      </c>
      <c r="J10">
        <v>12</v>
      </c>
    </row>
    <row r="11" spans="1:10" x14ac:dyDescent="0.25">
      <c r="A11" t="s">
        <v>204</v>
      </c>
      <c r="B11" t="s">
        <v>202</v>
      </c>
      <c r="C11" s="286">
        <v>45180.381712962961</v>
      </c>
      <c r="D11">
        <v>128881</v>
      </c>
      <c r="E11">
        <v>83552</v>
      </c>
      <c r="F11">
        <v>59</v>
      </c>
      <c r="G11">
        <v>41</v>
      </c>
      <c r="H11" s="287">
        <v>5</v>
      </c>
      <c r="I11">
        <v>21</v>
      </c>
      <c r="J11">
        <v>13</v>
      </c>
    </row>
    <row r="12" spans="1:10" x14ac:dyDescent="0.25">
      <c r="A12" t="s">
        <v>294</v>
      </c>
      <c r="B12" t="s">
        <v>293</v>
      </c>
      <c r="C12" s="286">
        <v>45158.08556712963</v>
      </c>
      <c r="D12">
        <v>11872</v>
      </c>
      <c r="E12">
        <v>517</v>
      </c>
      <c r="F12">
        <v>94</v>
      </c>
      <c r="G12">
        <v>93</v>
      </c>
      <c r="H12">
        <v>93</v>
      </c>
      <c r="I12">
        <v>57</v>
      </c>
      <c r="J12">
        <v>14</v>
      </c>
    </row>
    <row r="13" spans="1:10" x14ac:dyDescent="0.25">
      <c r="A13" t="s">
        <v>160</v>
      </c>
      <c r="B13" t="s">
        <v>240</v>
      </c>
      <c r="C13" s="286">
        <v>45181.375115740739</v>
      </c>
      <c r="D13">
        <v>30045</v>
      </c>
      <c r="E13">
        <v>18914</v>
      </c>
      <c r="F13">
        <v>100</v>
      </c>
      <c r="G13">
        <v>100</v>
      </c>
      <c r="H13">
        <v>100</v>
      </c>
      <c r="I13">
        <v>89</v>
      </c>
      <c r="J13">
        <v>15</v>
      </c>
    </row>
    <row r="14" spans="1:10" x14ac:dyDescent="0.25">
      <c r="A14" t="s">
        <v>161</v>
      </c>
      <c r="B14" t="s">
        <v>241</v>
      </c>
      <c r="C14" s="286">
        <v>45177.75267361111</v>
      </c>
      <c r="D14">
        <v>38793</v>
      </c>
      <c r="E14">
        <v>20891</v>
      </c>
      <c r="F14" s="287">
        <v>5</v>
      </c>
      <c r="G14" s="287">
        <v>10</v>
      </c>
      <c r="H14" s="287">
        <v>5</v>
      </c>
      <c r="I14">
        <v>59</v>
      </c>
      <c r="J14">
        <v>16</v>
      </c>
    </row>
    <row r="15" spans="1:10" x14ac:dyDescent="0.25">
      <c r="A15" t="s">
        <v>183</v>
      </c>
      <c r="B15" t="s">
        <v>242</v>
      </c>
      <c r="C15" s="286">
        <v>45161.687418981484</v>
      </c>
      <c r="D15">
        <v>52646</v>
      </c>
      <c r="E15">
        <v>0</v>
      </c>
      <c r="F15" s="287"/>
      <c r="G15" s="287"/>
      <c r="H15" s="287"/>
      <c r="I15" s="287">
        <v>5</v>
      </c>
      <c r="J15">
        <v>17</v>
      </c>
    </row>
    <row r="16" spans="1:10" x14ac:dyDescent="0.25">
      <c r="A16" t="s">
        <v>162</v>
      </c>
      <c r="B16" t="s">
        <v>243</v>
      </c>
      <c r="C16" s="286">
        <v>45181.627337962964</v>
      </c>
      <c r="D16">
        <v>71511</v>
      </c>
      <c r="E16">
        <v>5782</v>
      </c>
      <c r="F16">
        <v>57</v>
      </c>
      <c r="G16">
        <v>58</v>
      </c>
      <c r="H16">
        <v>45</v>
      </c>
      <c r="I16">
        <v>79</v>
      </c>
      <c r="J16">
        <v>18</v>
      </c>
    </row>
    <row r="17" spans="1:10" x14ac:dyDescent="0.25">
      <c r="A17" t="s">
        <v>317</v>
      </c>
      <c r="B17" t="s">
        <v>318</v>
      </c>
      <c r="C17" s="286">
        <v>45158.085231481484</v>
      </c>
      <c r="D17">
        <v>3742</v>
      </c>
      <c r="E17">
        <v>424</v>
      </c>
      <c r="F17">
        <v>96</v>
      </c>
      <c r="G17">
        <v>94</v>
      </c>
      <c r="H17">
        <v>95</v>
      </c>
      <c r="I17">
        <v>83</v>
      </c>
      <c r="J17">
        <v>19</v>
      </c>
    </row>
    <row r="18" spans="1:10" x14ac:dyDescent="0.25">
      <c r="A18" t="s">
        <v>163</v>
      </c>
      <c r="B18" t="s">
        <v>244</v>
      </c>
      <c r="C18" s="286">
        <v>45180.348263888889</v>
      </c>
      <c r="D18">
        <v>44018</v>
      </c>
      <c r="E18">
        <v>35869</v>
      </c>
      <c r="F18">
        <v>87</v>
      </c>
      <c r="G18">
        <v>67</v>
      </c>
      <c r="H18">
        <v>72</v>
      </c>
      <c r="I18">
        <v>95</v>
      </c>
      <c r="J18">
        <v>20</v>
      </c>
    </row>
    <row r="19" spans="1:10" x14ac:dyDescent="0.25">
      <c r="A19" t="s">
        <v>164</v>
      </c>
      <c r="B19" t="s">
        <v>245</v>
      </c>
      <c r="C19" s="286">
        <v>45183.737303240741</v>
      </c>
      <c r="D19">
        <v>47829</v>
      </c>
      <c r="E19">
        <v>8657</v>
      </c>
      <c r="F19">
        <v>12</v>
      </c>
      <c r="G19">
        <v>22</v>
      </c>
      <c r="H19" s="287">
        <v>5</v>
      </c>
      <c r="I19" s="287">
        <v>6</v>
      </c>
      <c r="J19">
        <v>21</v>
      </c>
    </row>
    <row r="20" spans="1:10" x14ac:dyDescent="0.25">
      <c r="A20" t="s">
        <v>165</v>
      </c>
      <c r="B20" t="s">
        <v>246</v>
      </c>
      <c r="C20" s="286">
        <v>45170.043541666666</v>
      </c>
      <c r="D20">
        <v>74960</v>
      </c>
      <c r="E20">
        <v>35526</v>
      </c>
      <c r="F20">
        <v>16</v>
      </c>
      <c r="G20">
        <v>18</v>
      </c>
      <c r="H20">
        <v>18</v>
      </c>
      <c r="I20">
        <v>42</v>
      </c>
      <c r="J20">
        <v>22</v>
      </c>
    </row>
    <row r="21" spans="1:10" x14ac:dyDescent="0.25">
      <c r="A21" t="s">
        <v>177</v>
      </c>
      <c r="B21" t="s">
        <v>247</v>
      </c>
      <c r="C21" s="286">
        <v>45170.547511574077</v>
      </c>
      <c r="D21">
        <v>41979</v>
      </c>
      <c r="E21">
        <v>13231</v>
      </c>
      <c r="F21" s="287">
        <v>5</v>
      </c>
      <c r="G21">
        <v>91</v>
      </c>
      <c r="H21">
        <v>92</v>
      </c>
      <c r="I21">
        <v>36</v>
      </c>
      <c r="J21">
        <v>23</v>
      </c>
    </row>
    <row r="22" spans="1:10" x14ac:dyDescent="0.25">
      <c r="A22" t="s">
        <v>327</v>
      </c>
      <c r="B22" t="s">
        <v>329</v>
      </c>
      <c r="C22" s="286">
        <v>45158.085185185184</v>
      </c>
      <c r="D22">
        <v>19053</v>
      </c>
      <c r="E22">
        <v>5479</v>
      </c>
      <c r="F22">
        <v>29</v>
      </c>
      <c r="G22">
        <v>33</v>
      </c>
      <c r="H22">
        <v>34</v>
      </c>
      <c r="I22">
        <v>52</v>
      </c>
      <c r="J22">
        <v>25</v>
      </c>
    </row>
    <row r="23" spans="1:10" x14ac:dyDescent="0.25">
      <c r="A23" t="s">
        <v>209</v>
      </c>
      <c r="B23" t="s">
        <v>248</v>
      </c>
      <c r="C23" s="286">
        <v>45158.00240740741</v>
      </c>
      <c r="D23">
        <v>18831</v>
      </c>
      <c r="E23">
        <v>2207</v>
      </c>
      <c r="F23">
        <v>86</v>
      </c>
      <c r="G23">
        <v>85</v>
      </c>
      <c r="H23">
        <v>84</v>
      </c>
      <c r="I23">
        <v>13</v>
      </c>
      <c r="J23">
        <v>26</v>
      </c>
    </row>
    <row r="24" spans="1:10" x14ac:dyDescent="0.25">
      <c r="A24" t="s">
        <v>166</v>
      </c>
      <c r="B24" t="s">
        <v>249</v>
      </c>
      <c r="C24" s="286">
        <v>45181.690046296295</v>
      </c>
      <c r="D24">
        <v>46176</v>
      </c>
      <c r="E24">
        <v>49285</v>
      </c>
      <c r="F24">
        <v>19</v>
      </c>
      <c r="G24" s="287">
        <v>5</v>
      </c>
      <c r="H24" s="287">
        <v>5</v>
      </c>
      <c r="I24">
        <v>71</v>
      </c>
      <c r="J24">
        <v>27</v>
      </c>
    </row>
    <row r="25" spans="1:10" x14ac:dyDescent="0.25">
      <c r="A25" t="s">
        <v>168</v>
      </c>
      <c r="B25" t="s">
        <v>252</v>
      </c>
      <c r="C25" s="286">
        <v>45170.045428240737</v>
      </c>
      <c r="D25">
        <v>123085</v>
      </c>
      <c r="E25">
        <v>88134</v>
      </c>
      <c r="F25">
        <v>35</v>
      </c>
      <c r="G25">
        <v>48</v>
      </c>
      <c r="H25">
        <v>32</v>
      </c>
      <c r="I25">
        <v>23</v>
      </c>
      <c r="J25">
        <v>30</v>
      </c>
    </row>
    <row r="26" spans="1:10" x14ac:dyDescent="0.25">
      <c r="A26" t="s">
        <v>193</v>
      </c>
      <c r="B26" t="s">
        <v>195</v>
      </c>
      <c r="C26" s="286">
        <v>45170.084745370368</v>
      </c>
      <c r="D26">
        <v>16081</v>
      </c>
      <c r="E26">
        <v>9796</v>
      </c>
      <c r="F26">
        <v>64</v>
      </c>
      <c r="G26">
        <v>61</v>
      </c>
      <c r="H26">
        <v>57</v>
      </c>
      <c r="I26">
        <v>89</v>
      </c>
      <c r="J26">
        <v>31</v>
      </c>
    </row>
    <row r="27" spans="1:10" x14ac:dyDescent="0.25">
      <c r="A27" t="s">
        <v>251</v>
      </c>
      <c r="B27" t="s">
        <v>214</v>
      </c>
      <c r="C27" s="286">
        <v>45158.001701388886</v>
      </c>
      <c r="D27">
        <v>40797</v>
      </c>
      <c r="E27">
        <v>5020</v>
      </c>
      <c r="F27">
        <v>81</v>
      </c>
      <c r="G27">
        <v>79</v>
      </c>
      <c r="H27">
        <v>79</v>
      </c>
      <c r="I27">
        <v>80</v>
      </c>
      <c r="J27">
        <v>32</v>
      </c>
    </row>
    <row r="28" spans="1:10" x14ac:dyDescent="0.25">
      <c r="A28" t="s">
        <v>221</v>
      </c>
      <c r="B28" t="s">
        <v>219</v>
      </c>
      <c r="C28" s="286">
        <v>45158.002233796295</v>
      </c>
      <c r="D28">
        <v>5755</v>
      </c>
      <c r="E28">
        <v>4462</v>
      </c>
      <c r="F28">
        <v>81</v>
      </c>
      <c r="G28">
        <v>81</v>
      </c>
      <c r="H28">
        <v>77</v>
      </c>
      <c r="I28">
        <v>54</v>
      </c>
      <c r="J28">
        <v>33</v>
      </c>
    </row>
    <row r="29" spans="1:10" x14ac:dyDescent="0.25">
      <c r="A29" t="s">
        <v>167</v>
      </c>
      <c r="B29" t="s">
        <v>217</v>
      </c>
      <c r="C29" s="286">
        <v>45174.720532407409</v>
      </c>
      <c r="D29">
        <v>182578</v>
      </c>
      <c r="E29">
        <v>17622</v>
      </c>
      <c r="F29">
        <v>72</v>
      </c>
      <c r="G29">
        <v>77</v>
      </c>
      <c r="H29">
        <v>66</v>
      </c>
      <c r="I29">
        <v>17</v>
      </c>
      <c r="J29">
        <v>34</v>
      </c>
    </row>
    <row r="30" spans="1:10" x14ac:dyDescent="0.25">
      <c r="A30" t="s">
        <v>167</v>
      </c>
      <c r="B30" t="s">
        <v>340</v>
      </c>
      <c r="C30" s="286">
        <v>45135.376331018517</v>
      </c>
      <c r="D30">
        <v>0</v>
      </c>
      <c r="E30">
        <v>0</v>
      </c>
      <c r="F30">
        <v>98</v>
      </c>
      <c r="G30">
        <v>97</v>
      </c>
      <c r="H30">
        <v>97</v>
      </c>
      <c r="I30">
        <v>97</v>
      </c>
      <c r="J30">
        <v>35</v>
      </c>
    </row>
    <row r="31" spans="1:10" x14ac:dyDescent="0.25">
      <c r="A31" t="s">
        <v>185</v>
      </c>
      <c r="B31" t="s">
        <v>253</v>
      </c>
      <c r="C31" s="286">
        <v>45170.358252314814</v>
      </c>
      <c r="D31">
        <v>21796</v>
      </c>
      <c r="E31">
        <v>4527</v>
      </c>
      <c r="F31">
        <v>39</v>
      </c>
      <c r="G31">
        <v>42</v>
      </c>
      <c r="H31">
        <v>26</v>
      </c>
      <c r="I31">
        <v>30</v>
      </c>
      <c r="J31">
        <v>36</v>
      </c>
    </row>
    <row r="32" spans="1:10" x14ac:dyDescent="0.25">
      <c r="A32" t="s">
        <v>201</v>
      </c>
      <c r="B32" t="s">
        <v>197</v>
      </c>
      <c r="C32" s="286">
        <v>45170.001875000002</v>
      </c>
      <c r="D32">
        <v>56258</v>
      </c>
      <c r="E32">
        <v>3918</v>
      </c>
      <c r="F32">
        <v>83</v>
      </c>
      <c r="G32">
        <v>82</v>
      </c>
      <c r="H32">
        <v>79</v>
      </c>
      <c r="I32">
        <v>62</v>
      </c>
      <c r="J32">
        <v>37</v>
      </c>
    </row>
    <row r="33" spans="1:10" x14ac:dyDescent="0.25">
      <c r="A33" t="s">
        <v>344</v>
      </c>
      <c r="B33" t="s">
        <v>346</v>
      </c>
      <c r="C33" s="286">
        <v>45158.085219907407</v>
      </c>
      <c r="D33">
        <v>1044</v>
      </c>
      <c r="E33">
        <v>407</v>
      </c>
      <c r="F33">
        <v>95</v>
      </c>
      <c r="G33">
        <v>95</v>
      </c>
      <c r="H33">
        <v>96</v>
      </c>
      <c r="I33">
        <v>93</v>
      </c>
      <c r="J33">
        <v>38</v>
      </c>
    </row>
    <row r="34" spans="1:10" x14ac:dyDescent="0.25">
      <c r="A34" t="s">
        <v>289</v>
      </c>
      <c r="B34" t="s">
        <v>290</v>
      </c>
      <c r="C34" s="286">
        <v>45158.001701388886</v>
      </c>
      <c r="D34">
        <v>4540</v>
      </c>
      <c r="E34">
        <v>724</v>
      </c>
      <c r="F34">
        <v>95</v>
      </c>
      <c r="G34">
        <v>94</v>
      </c>
      <c r="H34">
        <v>95</v>
      </c>
      <c r="I34">
        <v>82</v>
      </c>
      <c r="J34">
        <v>39</v>
      </c>
    </row>
    <row r="35" spans="1:10" x14ac:dyDescent="0.25">
      <c r="A35" t="s">
        <v>169</v>
      </c>
      <c r="B35" t="s">
        <v>256</v>
      </c>
      <c r="C35" s="286">
        <v>45183.722592592596</v>
      </c>
      <c r="D35">
        <v>69447</v>
      </c>
      <c r="E35">
        <v>45063</v>
      </c>
      <c r="F35">
        <v>40</v>
      </c>
      <c r="G35">
        <v>48</v>
      </c>
      <c r="H35">
        <v>62</v>
      </c>
      <c r="I35">
        <v>24</v>
      </c>
      <c r="J35">
        <v>42</v>
      </c>
    </row>
    <row r="36" spans="1:10" x14ac:dyDescent="0.25">
      <c r="A36" t="s">
        <v>350</v>
      </c>
      <c r="B36" t="s">
        <v>286</v>
      </c>
      <c r="C36" s="286">
        <v>45158.043321759258</v>
      </c>
      <c r="D36">
        <v>6633</v>
      </c>
      <c r="E36">
        <v>1452</v>
      </c>
      <c r="F36">
        <v>91</v>
      </c>
      <c r="G36">
        <v>90</v>
      </c>
      <c r="H36">
        <v>90</v>
      </c>
      <c r="I36">
        <v>70</v>
      </c>
      <c r="J36">
        <v>43</v>
      </c>
    </row>
    <row r="37" spans="1:10" x14ac:dyDescent="0.25">
      <c r="A37" t="s">
        <v>282</v>
      </c>
      <c r="B37" t="s">
        <v>189</v>
      </c>
      <c r="C37" s="286">
        <v>45173.484201388892</v>
      </c>
      <c r="D37">
        <v>85821</v>
      </c>
      <c r="E37">
        <v>12834</v>
      </c>
      <c r="F37">
        <v>30</v>
      </c>
      <c r="G37">
        <v>19</v>
      </c>
      <c r="H37">
        <v>16</v>
      </c>
      <c r="I37">
        <v>70</v>
      </c>
      <c r="J37">
        <v>44</v>
      </c>
    </row>
    <row r="38" spans="1:10" x14ac:dyDescent="0.25">
      <c r="A38" t="s">
        <v>282</v>
      </c>
      <c r="B38" t="s">
        <v>190</v>
      </c>
      <c r="C38" s="286">
        <v>45182.674131944441</v>
      </c>
      <c r="D38">
        <v>50056</v>
      </c>
      <c r="E38">
        <v>8563</v>
      </c>
      <c r="F38">
        <v>70</v>
      </c>
      <c r="G38">
        <v>71</v>
      </c>
      <c r="H38">
        <v>68</v>
      </c>
      <c r="I38" s="287">
        <v>7</v>
      </c>
      <c r="J38">
        <v>45</v>
      </c>
    </row>
    <row r="39" spans="1:10" x14ac:dyDescent="0.25">
      <c r="A39" t="s">
        <v>170</v>
      </c>
      <c r="B39" t="s">
        <v>257</v>
      </c>
      <c r="C39" s="286">
        <v>45184.363715277781</v>
      </c>
      <c r="D39">
        <v>121941</v>
      </c>
      <c r="E39">
        <v>32248</v>
      </c>
      <c r="F39">
        <v>45</v>
      </c>
      <c r="G39">
        <v>51</v>
      </c>
      <c r="H39">
        <v>40</v>
      </c>
      <c r="I39">
        <v>69</v>
      </c>
      <c r="J39">
        <v>46</v>
      </c>
    </row>
    <row r="40" spans="1:10" x14ac:dyDescent="0.25">
      <c r="A40" t="s">
        <v>171</v>
      </c>
      <c r="B40" t="s">
        <v>258</v>
      </c>
      <c r="C40" s="286">
        <v>45158.001828703702</v>
      </c>
      <c r="D40">
        <v>69214</v>
      </c>
      <c r="E40">
        <v>0</v>
      </c>
      <c r="F40" s="287"/>
      <c r="G40" s="287"/>
      <c r="H40" s="287"/>
      <c r="I40">
        <v>55</v>
      </c>
      <c r="J40">
        <v>47</v>
      </c>
    </row>
    <row r="41" spans="1:10" x14ac:dyDescent="0.25">
      <c r="A41" t="s">
        <v>171</v>
      </c>
      <c r="B41" t="s">
        <v>237</v>
      </c>
      <c r="C41" s="286">
        <v>45183.398680555554</v>
      </c>
      <c r="D41">
        <v>25127</v>
      </c>
      <c r="E41">
        <v>4124</v>
      </c>
      <c r="F41">
        <v>81</v>
      </c>
      <c r="G41">
        <v>81</v>
      </c>
      <c r="H41">
        <v>82</v>
      </c>
      <c r="I41">
        <v>100</v>
      </c>
      <c r="J41">
        <v>48</v>
      </c>
    </row>
    <row r="42" spans="1:10" x14ac:dyDescent="0.25">
      <c r="A42" t="s">
        <v>171</v>
      </c>
      <c r="B42" t="s">
        <v>260</v>
      </c>
      <c r="C42" s="286">
        <v>45158.601550925923</v>
      </c>
      <c r="D42">
        <v>17882</v>
      </c>
      <c r="E42">
        <v>11680</v>
      </c>
      <c r="F42">
        <v>48</v>
      </c>
      <c r="G42">
        <v>47</v>
      </c>
      <c r="H42">
        <v>40</v>
      </c>
      <c r="I42">
        <v>72</v>
      </c>
      <c r="J42">
        <v>49</v>
      </c>
    </row>
    <row r="43" spans="1:10" x14ac:dyDescent="0.25">
      <c r="A43" t="s">
        <v>171</v>
      </c>
      <c r="B43" t="s">
        <v>259</v>
      </c>
      <c r="C43" s="286">
        <v>45183.388460648152</v>
      </c>
      <c r="D43">
        <v>412379</v>
      </c>
      <c r="E43">
        <v>21997</v>
      </c>
      <c r="F43">
        <v>96</v>
      </c>
      <c r="G43">
        <v>93</v>
      </c>
      <c r="H43">
        <v>95</v>
      </c>
      <c r="I43">
        <v>69</v>
      </c>
      <c r="J43">
        <v>50</v>
      </c>
    </row>
    <row r="44" spans="1:10" x14ac:dyDescent="0.25">
      <c r="A44" t="s">
        <v>178</v>
      </c>
      <c r="B44" t="s">
        <v>262</v>
      </c>
      <c r="C44" s="286">
        <v>45170.043993055559</v>
      </c>
      <c r="D44">
        <v>183560</v>
      </c>
      <c r="E44">
        <v>0</v>
      </c>
      <c r="F44" s="287"/>
      <c r="G44" s="287"/>
      <c r="H44" s="287"/>
      <c r="I44">
        <v>16</v>
      </c>
      <c r="J44">
        <v>51</v>
      </c>
    </row>
    <row r="45" spans="1:10" x14ac:dyDescent="0.25">
      <c r="A45" t="s">
        <v>172</v>
      </c>
      <c r="B45" t="s">
        <v>264</v>
      </c>
      <c r="C45" s="286">
        <v>45170.043773148151</v>
      </c>
      <c r="D45">
        <v>171304</v>
      </c>
      <c r="E45">
        <v>0</v>
      </c>
      <c r="F45" s="287"/>
      <c r="G45" s="287"/>
      <c r="H45" s="287"/>
      <c r="I45" s="287">
        <v>6</v>
      </c>
      <c r="J45">
        <v>52</v>
      </c>
    </row>
    <row r="46" spans="1:10" x14ac:dyDescent="0.25">
      <c r="A46" t="s">
        <v>173</v>
      </c>
      <c r="B46" t="s">
        <v>265</v>
      </c>
      <c r="C46" s="286">
        <v>45182.731435185182</v>
      </c>
      <c r="D46">
        <v>41022</v>
      </c>
      <c r="E46">
        <v>6348</v>
      </c>
      <c r="F46">
        <v>15</v>
      </c>
      <c r="G46">
        <v>13</v>
      </c>
      <c r="H46" s="287">
        <v>5</v>
      </c>
      <c r="I46">
        <v>99</v>
      </c>
      <c r="J46">
        <v>53</v>
      </c>
    </row>
    <row r="47" spans="1:10" x14ac:dyDescent="0.25">
      <c r="A47" t="s">
        <v>174</v>
      </c>
      <c r="B47" t="s">
        <v>266</v>
      </c>
      <c r="C47" s="286">
        <v>45180.374259259261</v>
      </c>
      <c r="D47">
        <v>105165</v>
      </c>
      <c r="E47">
        <v>45032</v>
      </c>
      <c r="F47">
        <v>87</v>
      </c>
      <c r="G47">
        <v>32</v>
      </c>
      <c r="H47">
        <v>92</v>
      </c>
      <c r="I47">
        <v>64</v>
      </c>
      <c r="J47">
        <v>54</v>
      </c>
    </row>
    <row r="48" spans="1:10" x14ac:dyDescent="0.25">
      <c r="A48" t="s">
        <v>175</v>
      </c>
      <c r="B48" t="s">
        <v>143</v>
      </c>
      <c r="C48" s="286">
        <v>45169.996053240742</v>
      </c>
      <c r="D48">
        <v>202696</v>
      </c>
      <c r="E48">
        <v>0</v>
      </c>
      <c r="F48" s="287"/>
      <c r="G48" s="287"/>
      <c r="H48" s="287"/>
      <c r="I48">
        <v>97</v>
      </c>
      <c r="J48">
        <v>55</v>
      </c>
    </row>
    <row r="49" spans="1:10" x14ac:dyDescent="0.25">
      <c r="A49" t="s">
        <v>175</v>
      </c>
      <c r="B49" t="s">
        <v>142</v>
      </c>
      <c r="C49" s="286">
        <v>45169.999027777776</v>
      </c>
      <c r="D49">
        <v>194717</v>
      </c>
      <c r="E49">
        <v>0</v>
      </c>
      <c r="F49" s="287"/>
      <c r="G49" s="287"/>
      <c r="H49" s="287"/>
      <c r="I49">
        <v>60</v>
      </c>
      <c r="J49">
        <v>56</v>
      </c>
    </row>
    <row r="50" spans="1:10" x14ac:dyDescent="0.25">
      <c r="A50" t="s">
        <v>360</v>
      </c>
      <c r="B50" t="s">
        <v>284</v>
      </c>
      <c r="C50" s="286">
        <v>45097.04351851852</v>
      </c>
      <c r="D50">
        <v>11889</v>
      </c>
      <c r="E50">
        <v>15160</v>
      </c>
      <c r="F50">
        <v>28</v>
      </c>
      <c r="G50">
        <v>21</v>
      </c>
      <c r="H50">
        <v>30</v>
      </c>
      <c r="I50">
        <v>21</v>
      </c>
      <c r="J50">
        <v>60</v>
      </c>
    </row>
    <row r="51" spans="1:10" x14ac:dyDescent="0.25">
      <c r="A51" t="s">
        <v>383</v>
      </c>
      <c r="C51" s="286">
        <v>45187.814629629633</v>
      </c>
      <c r="D51" t="s">
        <v>382</v>
      </c>
      <c r="E51">
        <v>0</v>
      </c>
      <c r="F51" s="287"/>
      <c r="G51" s="287"/>
      <c r="H51" s="287"/>
      <c r="I51" t="s">
        <v>382</v>
      </c>
      <c r="J51" t="s">
        <v>42</v>
      </c>
    </row>
    <row r="52" spans="1:10" x14ac:dyDescent="0.25">
      <c r="A52" t="s">
        <v>288</v>
      </c>
      <c r="B52">
        <v>1382800465</v>
      </c>
      <c r="C52" s="286">
        <v>45184.407766203702</v>
      </c>
      <c r="D52">
        <v>241487</v>
      </c>
      <c r="E52">
        <v>0</v>
      </c>
      <c r="F52" s="287"/>
      <c r="G52" s="287"/>
      <c r="H52" s="287"/>
      <c r="I52" s="287">
        <v>10</v>
      </c>
      <c r="J52" t="s">
        <v>42</v>
      </c>
    </row>
    <row r="53" spans="1:10" x14ac:dyDescent="0.25">
      <c r="A53" t="s">
        <v>384</v>
      </c>
      <c r="C53" s="286">
        <v>45183.855104166665</v>
      </c>
      <c r="D53" t="s">
        <v>382</v>
      </c>
      <c r="E53">
        <v>0</v>
      </c>
      <c r="F53" s="287"/>
      <c r="G53" s="287"/>
      <c r="H53" s="287"/>
      <c r="I53" t="s">
        <v>382</v>
      </c>
      <c r="J53" t="s">
        <v>42</v>
      </c>
    </row>
    <row r="54" spans="1:10" x14ac:dyDescent="0.25">
      <c r="A54" t="s">
        <v>378</v>
      </c>
      <c r="B54" t="s">
        <v>379</v>
      </c>
      <c r="C54" s="286">
        <v>45104.693530092591</v>
      </c>
      <c r="D54">
        <v>83528</v>
      </c>
      <c r="E54">
        <v>0</v>
      </c>
      <c r="F54" s="287"/>
      <c r="G54" s="287"/>
      <c r="H54" s="287"/>
      <c r="I54">
        <v>41</v>
      </c>
      <c r="J54" t="s">
        <v>42</v>
      </c>
    </row>
    <row r="55" spans="1:10" x14ac:dyDescent="0.25">
      <c r="A55" t="s">
        <v>374</v>
      </c>
      <c r="B55" t="s">
        <v>375</v>
      </c>
      <c r="C55" s="286">
        <v>45103.28125</v>
      </c>
      <c r="D55">
        <v>238436</v>
      </c>
      <c r="E55">
        <v>40230</v>
      </c>
      <c r="F55">
        <v>30</v>
      </c>
      <c r="G55">
        <v>43</v>
      </c>
      <c r="H55">
        <v>14</v>
      </c>
      <c r="I55">
        <v>74</v>
      </c>
      <c r="J55" t="s">
        <v>42</v>
      </c>
    </row>
    <row r="56" spans="1:10" x14ac:dyDescent="0.25">
      <c r="A56" t="s">
        <v>380</v>
      </c>
      <c r="B56" t="s">
        <v>381</v>
      </c>
      <c r="C56" s="286">
        <v>45095.291724537034</v>
      </c>
      <c r="D56">
        <v>53099</v>
      </c>
      <c r="E56">
        <v>0</v>
      </c>
      <c r="F56" s="287"/>
      <c r="G56" s="287"/>
      <c r="H56" s="287"/>
      <c r="I56">
        <v>72</v>
      </c>
      <c r="J56" t="s">
        <v>42</v>
      </c>
    </row>
    <row r="57" spans="1:10" x14ac:dyDescent="0.25">
      <c r="A57" t="s">
        <v>376</v>
      </c>
      <c r="B57" t="s">
        <v>377</v>
      </c>
      <c r="C57" s="286">
        <v>45078.317569444444</v>
      </c>
      <c r="D57">
        <v>40580</v>
      </c>
      <c r="E57">
        <v>22413</v>
      </c>
      <c r="F57">
        <v>61</v>
      </c>
      <c r="G57">
        <v>76</v>
      </c>
      <c r="H57">
        <v>30</v>
      </c>
      <c r="I57">
        <v>63</v>
      </c>
      <c r="J57" t="s">
        <v>42</v>
      </c>
    </row>
  </sheetData>
  <sortState xmlns:xlrd2="http://schemas.microsoft.com/office/spreadsheetml/2017/richdata2" ref="A2:J57">
    <sortCondition ref="J1:J5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1B880-AA3C-416A-B2C4-020C800B2EDA}">
  <sheetPr codeName="Foglio8"/>
  <dimension ref="A1:AQ57"/>
  <sheetViews>
    <sheetView workbookViewId="0">
      <selection activeCell="D7" sqref="D7"/>
    </sheetView>
  </sheetViews>
  <sheetFormatPr defaultRowHeight="15" x14ac:dyDescent="0.25"/>
  <cols>
    <col min="1" max="1" width="34" bestFit="1" customWidth="1"/>
    <col min="2" max="2" width="11.8554687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43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43" x14ac:dyDescent="0.25">
      <c r="L2" t="s">
        <v>152</v>
      </c>
      <c r="M2" t="s">
        <v>223</v>
      </c>
      <c r="N2" s="286">
        <v>45184.374259259261</v>
      </c>
      <c r="O2">
        <v>196710</v>
      </c>
      <c r="P2">
        <v>35239</v>
      </c>
      <c r="Q2" s="287">
        <v>5</v>
      </c>
      <c r="R2">
        <v>89</v>
      </c>
      <c r="S2">
        <v>69</v>
      </c>
      <c r="T2">
        <v>67</v>
      </c>
      <c r="U2">
        <v>2</v>
      </c>
    </row>
    <row r="3" spans="1:43" x14ac:dyDescent="0.25">
      <c r="L3" t="s">
        <v>184</v>
      </c>
      <c r="M3" t="s">
        <v>224</v>
      </c>
      <c r="N3" s="286">
        <v>45180.582499999997</v>
      </c>
      <c r="O3">
        <v>14685</v>
      </c>
      <c r="P3">
        <v>20253</v>
      </c>
      <c r="Q3" s="287">
        <v>5</v>
      </c>
      <c r="R3">
        <v>16</v>
      </c>
      <c r="S3">
        <v>12</v>
      </c>
      <c r="T3">
        <v>37</v>
      </c>
      <c r="U3">
        <v>3</v>
      </c>
    </row>
    <row r="4" spans="1:43" x14ac:dyDescent="0.25">
      <c r="L4" t="s">
        <v>205</v>
      </c>
      <c r="M4" t="s">
        <v>225</v>
      </c>
      <c r="N4" s="286">
        <v>45170.002060185187</v>
      </c>
      <c r="O4">
        <v>19547</v>
      </c>
      <c r="P4">
        <v>16093</v>
      </c>
      <c r="Q4">
        <v>52</v>
      </c>
      <c r="R4">
        <v>56</v>
      </c>
      <c r="S4">
        <v>53</v>
      </c>
      <c r="T4">
        <v>65</v>
      </c>
      <c r="U4">
        <v>4</v>
      </c>
    </row>
    <row r="5" spans="1:43" x14ac:dyDescent="0.25">
      <c r="L5" t="s">
        <v>154</v>
      </c>
      <c r="M5" t="s">
        <v>228</v>
      </c>
      <c r="N5" s="286">
        <v>45177.751932870371</v>
      </c>
      <c r="O5">
        <v>106567</v>
      </c>
      <c r="P5">
        <v>24869</v>
      </c>
      <c r="Q5">
        <v>49</v>
      </c>
      <c r="R5">
        <v>57</v>
      </c>
      <c r="S5">
        <v>29</v>
      </c>
      <c r="T5">
        <v>79</v>
      </c>
      <c r="U5">
        <v>5</v>
      </c>
    </row>
    <row r="8" spans="1:43" x14ac:dyDescent="0.25">
      <c r="W8" t="s">
        <v>158</v>
      </c>
      <c r="X8" t="s">
        <v>235</v>
      </c>
      <c r="Y8" s="286">
        <v>45180.289421296293</v>
      </c>
      <c r="Z8">
        <v>133729</v>
      </c>
      <c r="AA8">
        <v>19300</v>
      </c>
      <c r="AB8" s="287">
        <v>5</v>
      </c>
      <c r="AC8" s="287">
        <v>9</v>
      </c>
      <c r="AD8" s="287">
        <v>8</v>
      </c>
      <c r="AE8">
        <v>21</v>
      </c>
      <c r="AF8">
        <v>10</v>
      </c>
      <c r="AH8" t="s">
        <v>153</v>
      </c>
      <c r="AI8" t="s">
        <v>233</v>
      </c>
      <c r="AJ8" s="286">
        <v>45178.041967592595</v>
      </c>
      <c r="AK8">
        <v>29934</v>
      </c>
      <c r="AL8">
        <v>0</v>
      </c>
      <c r="AM8" s="287"/>
      <c r="AN8" s="287"/>
      <c r="AO8" s="287"/>
      <c r="AP8">
        <v>16</v>
      </c>
      <c r="AQ8">
        <v>8</v>
      </c>
    </row>
    <row r="9" spans="1:43" x14ac:dyDescent="0.25">
      <c r="W9" t="s">
        <v>176</v>
      </c>
      <c r="X9" t="s">
        <v>236</v>
      </c>
      <c r="Y9" s="286">
        <v>45179.9608912037</v>
      </c>
      <c r="Z9">
        <v>31685</v>
      </c>
      <c r="AA9">
        <v>4749</v>
      </c>
      <c r="AB9">
        <v>68</v>
      </c>
      <c r="AC9">
        <v>69</v>
      </c>
      <c r="AD9">
        <v>64</v>
      </c>
      <c r="AE9">
        <v>30</v>
      </c>
      <c r="AF9">
        <v>11</v>
      </c>
      <c r="AH9" t="s">
        <v>157</v>
      </c>
      <c r="AI9" t="s">
        <v>234</v>
      </c>
      <c r="AJ9" s="286">
        <v>45184.384837962964</v>
      </c>
      <c r="AK9">
        <v>102367</v>
      </c>
      <c r="AL9">
        <v>33033</v>
      </c>
      <c r="AM9">
        <v>11</v>
      </c>
      <c r="AN9">
        <v>98</v>
      </c>
      <c r="AO9" s="287">
        <v>7</v>
      </c>
      <c r="AP9">
        <v>78</v>
      </c>
      <c r="AQ9">
        <v>9</v>
      </c>
    </row>
    <row r="12" spans="1:43" x14ac:dyDescent="0.25">
      <c r="A12" t="s">
        <v>294</v>
      </c>
      <c r="B12" t="s">
        <v>293</v>
      </c>
      <c r="C12" s="286">
        <v>45158.08556712963</v>
      </c>
      <c r="D12">
        <v>11872</v>
      </c>
      <c r="E12">
        <v>517</v>
      </c>
      <c r="F12">
        <v>94</v>
      </c>
      <c r="G12">
        <v>93</v>
      </c>
      <c r="H12">
        <v>93</v>
      </c>
      <c r="I12">
        <v>57</v>
      </c>
      <c r="J12">
        <v>14</v>
      </c>
      <c r="L12" t="s">
        <v>203</v>
      </c>
      <c r="M12" t="s">
        <v>238</v>
      </c>
      <c r="N12" s="286">
        <v>45158.001863425925</v>
      </c>
      <c r="O12">
        <v>42820</v>
      </c>
      <c r="P12">
        <v>14846</v>
      </c>
      <c r="Q12">
        <v>38</v>
      </c>
      <c r="R12">
        <v>40</v>
      </c>
      <c r="S12">
        <v>35</v>
      </c>
      <c r="T12">
        <v>72</v>
      </c>
      <c r="U12">
        <v>12</v>
      </c>
    </row>
    <row r="13" spans="1:43" x14ac:dyDescent="0.25">
      <c r="A13" t="s">
        <v>160</v>
      </c>
      <c r="B13" t="s">
        <v>240</v>
      </c>
      <c r="C13" s="286">
        <v>45181.375115740739</v>
      </c>
      <c r="D13">
        <v>30045</v>
      </c>
      <c r="E13">
        <v>18914</v>
      </c>
      <c r="F13">
        <v>100</v>
      </c>
      <c r="G13">
        <v>100</v>
      </c>
      <c r="H13">
        <v>100</v>
      </c>
      <c r="I13">
        <v>89</v>
      </c>
      <c r="J13">
        <v>15</v>
      </c>
      <c r="L13" t="s">
        <v>204</v>
      </c>
      <c r="M13" t="s">
        <v>202</v>
      </c>
      <c r="N13" s="286">
        <v>45180.381712962961</v>
      </c>
      <c r="O13">
        <v>128881</v>
      </c>
      <c r="P13">
        <v>83552</v>
      </c>
      <c r="Q13">
        <v>59</v>
      </c>
      <c r="R13">
        <v>41</v>
      </c>
      <c r="S13" s="287">
        <v>5</v>
      </c>
      <c r="T13">
        <v>21</v>
      </c>
      <c r="U13">
        <v>13</v>
      </c>
    </row>
    <row r="14" spans="1:43" x14ac:dyDescent="0.25">
      <c r="A14" t="s">
        <v>161</v>
      </c>
      <c r="B14" t="s">
        <v>241</v>
      </c>
      <c r="C14" s="286">
        <v>45177.75267361111</v>
      </c>
      <c r="D14">
        <v>38793</v>
      </c>
      <c r="E14">
        <v>20891</v>
      </c>
      <c r="F14" s="287">
        <v>5</v>
      </c>
      <c r="G14" s="287">
        <v>10</v>
      </c>
      <c r="H14" s="287">
        <v>5</v>
      </c>
      <c r="I14">
        <v>59</v>
      </c>
      <c r="J14">
        <v>16</v>
      </c>
    </row>
    <row r="15" spans="1:43" x14ac:dyDescent="0.25">
      <c r="A15" t="s">
        <v>183</v>
      </c>
      <c r="B15" t="s">
        <v>242</v>
      </c>
      <c r="C15" s="286">
        <v>45161.687418981484</v>
      </c>
      <c r="D15">
        <v>52646</v>
      </c>
      <c r="E15">
        <v>0</v>
      </c>
      <c r="F15" s="287"/>
      <c r="G15" s="287"/>
      <c r="H15" s="287"/>
      <c r="I15" s="287">
        <v>5</v>
      </c>
      <c r="J15">
        <v>17</v>
      </c>
    </row>
    <row r="16" spans="1:43" x14ac:dyDescent="0.25">
      <c r="A16" t="s">
        <v>162</v>
      </c>
      <c r="B16" t="s">
        <v>243</v>
      </c>
      <c r="C16" s="286">
        <v>45181.627337962964</v>
      </c>
      <c r="D16">
        <v>71511</v>
      </c>
      <c r="E16">
        <v>5782</v>
      </c>
      <c r="F16">
        <v>57</v>
      </c>
      <c r="G16">
        <v>58</v>
      </c>
      <c r="H16">
        <v>45</v>
      </c>
      <c r="I16">
        <v>79</v>
      </c>
      <c r="J16">
        <v>18</v>
      </c>
    </row>
    <row r="17" spans="1:10" x14ac:dyDescent="0.25">
      <c r="A17" t="s">
        <v>317</v>
      </c>
      <c r="B17" t="s">
        <v>318</v>
      </c>
      <c r="C17" s="286">
        <v>45158.085231481484</v>
      </c>
      <c r="D17">
        <v>3742</v>
      </c>
      <c r="E17">
        <v>424</v>
      </c>
      <c r="F17">
        <v>96</v>
      </c>
      <c r="G17">
        <v>94</v>
      </c>
      <c r="H17">
        <v>95</v>
      </c>
      <c r="I17">
        <v>83</v>
      </c>
      <c r="J17">
        <v>19</v>
      </c>
    </row>
    <row r="18" spans="1:10" x14ac:dyDescent="0.25">
      <c r="A18" t="s">
        <v>163</v>
      </c>
      <c r="B18" t="s">
        <v>244</v>
      </c>
      <c r="C18" s="286">
        <v>45180.348263888889</v>
      </c>
      <c r="D18">
        <v>44018</v>
      </c>
      <c r="E18">
        <v>35869</v>
      </c>
      <c r="F18">
        <v>87</v>
      </c>
      <c r="G18">
        <v>67</v>
      </c>
      <c r="H18">
        <v>72</v>
      </c>
      <c r="I18">
        <v>95</v>
      </c>
      <c r="J18">
        <v>20</v>
      </c>
    </row>
    <row r="19" spans="1:10" x14ac:dyDescent="0.25">
      <c r="A19" t="s">
        <v>164</v>
      </c>
      <c r="B19" t="s">
        <v>245</v>
      </c>
      <c r="C19" s="286">
        <v>45183.737303240741</v>
      </c>
      <c r="D19">
        <v>47829</v>
      </c>
      <c r="E19">
        <v>8657</v>
      </c>
      <c r="F19">
        <v>12</v>
      </c>
      <c r="G19">
        <v>22</v>
      </c>
      <c r="H19" s="287">
        <v>5</v>
      </c>
      <c r="I19" s="287">
        <v>6</v>
      </c>
      <c r="J19">
        <v>21</v>
      </c>
    </row>
    <row r="20" spans="1:10" x14ac:dyDescent="0.25">
      <c r="A20" t="s">
        <v>165</v>
      </c>
      <c r="B20" t="s">
        <v>246</v>
      </c>
      <c r="C20" s="286">
        <v>45170.043541666666</v>
      </c>
      <c r="D20">
        <v>74960</v>
      </c>
      <c r="E20">
        <v>35526</v>
      </c>
      <c r="F20">
        <v>16</v>
      </c>
      <c r="G20">
        <v>18</v>
      </c>
      <c r="H20">
        <v>18</v>
      </c>
      <c r="I20">
        <v>42</v>
      </c>
      <c r="J20">
        <v>22</v>
      </c>
    </row>
    <row r="21" spans="1:10" x14ac:dyDescent="0.25">
      <c r="A21" t="s">
        <v>177</v>
      </c>
      <c r="B21" t="s">
        <v>247</v>
      </c>
      <c r="C21" s="286">
        <v>45170.547511574077</v>
      </c>
      <c r="D21">
        <v>41979</v>
      </c>
      <c r="E21">
        <v>13231</v>
      </c>
      <c r="F21" s="287">
        <v>5</v>
      </c>
      <c r="G21">
        <v>91</v>
      </c>
      <c r="H21">
        <v>92</v>
      </c>
      <c r="I21">
        <v>36</v>
      </c>
      <c r="J21">
        <v>23</v>
      </c>
    </row>
    <row r="22" spans="1:10" x14ac:dyDescent="0.25">
      <c r="A22" t="s">
        <v>327</v>
      </c>
      <c r="B22" t="s">
        <v>329</v>
      </c>
      <c r="C22" s="286">
        <v>45158.085185185184</v>
      </c>
      <c r="D22">
        <v>19053</v>
      </c>
      <c r="E22">
        <v>5479</v>
      </c>
      <c r="F22">
        <v>29</v>
      </c>
      <c r="G22">
        <v>33</v>
      </c>
      <c r="H22">
        <v>34</v>
      </c>
      <c r="I22">
        <v>52</v>
      </c>
      <c r="J22">
        <v>25</v>
      </c>
    </row>
    <row r="23" spans="1:10" x14ac:dyDescent="0.25">
      <c r="A23" t="s">
        <v>209</v>
      </c>
      <c r="B23" t="s">
        <v>248</v>
      </c>
      <c r="C23" s="286">
        <v>45158.00240740741</v>
      </c>
      <c r="D23">
        <v>18831</v>
      </c>
      <c r="E23">
        <v>2207</v>
      </c>
      <c r="F23">
        <v>86</v>
      </c>
      <c r="G23">
        <v>85</v>
      </c>
      <c r="H23">
        <v>84</v>
      </c>
      <c r="I23">
        <v>13</v>
      </c>
      <c r="J23">
        <v>26</v>
      </c>
    </row>
    <row r="24" spans="1:10" x14ac:dyDescent="0.25">
      <c r="A24" t="s">
        <v>166</v>
      </c>
      <c r="B24" t="s">
        <v>249</v>
      </c>
      <c r="C24" s="286">
        <v>45181.690046296295</v>
      </c>
      <c r="D24">
        <v>46176</v>
      </c>
      <c r="E24">
        <v>49285</v>
      </c>
      <c r="F24">
        <v>19</v>
      </c>
      <c r="G24" s="287">
        <v>5</v>
      </c>
      <c r="H24" s="287">
        <v>5</v>
      </c>
      <c r="I24">
        <v>71</v>
      </c>
      <c r="J24">
        <v>27</v>
      </c>
    </row>
    <row r="25" spans="1:10" x14ac:dyDescent="0.25">
      <c r="A25" t="s">
        <v>168</v>
      </c>
      <c r="B25" t="s">
        <v>252</v>
      </c>
      <c r="C25" s="286">
        <v>45170.045428240737</v>
      </c>
      <c r="D25">
        <v>123085</v>
      </c>
      <c r="E25">
        <v>88134</v>
      </c>
      <c r="F25">
        <v>35</v>
      </c>
      <c r="G25">
        <v>48</v>
      </c>
      <c r="H25">
        <v>32</v>
      </c>
      <c r="I25">
        <v>23</v>
      </c>
      <c r="J25">
        <v>30</v>
      </c>
    </row>
    <row r="26" spans="1:10" x14ac:dyDescent="0.25">
      <c r="A26" t="s">
        <v>193</v>
      </c>
      <c r="B26" t="s">
        <v>195</v>
      </c>
      <c r="C26" s="286">
        <v>45170.084745370368</v>
      </c>
      <c r="D26">
        <v>16081</v>
      </c>
      <c r="E26">
        <v>9796</v>
      </c>
      <c r="F26">
        <v>64</v>
      </c>
      <c r="G26">
        <v>61</v>
      </c>
      <c r="H26">
        <v>57</v>
      </c>
      <c r="I26">
        <v>89</v>
      </c>
      <c r="J26">
        <v>31</v>
      </c>
    </row>
    <row r="27" spans="1:10" x14ac:dyDescent="0.25">
      <c r="A27" t="s">
        <v>251</v>
      </c>
      <c r="B27" t="s">
        <v>214</v>
      </c>
      <c r="C27" s="286">
        <v>45158.001701388886</v>
      </c>
      <c r="D27">
        <v>40797</v>
      </c>
      <c r="E27">
        <v>5020</v>
      </c>
      <c r="F27">
        <v>81</v>
      </c>
      <c r="G27">
        <v>79</v>
      </c>
      <c r="H27">
        <v>79</v>
      </c>
      <c r="I27">
        <v>80</v>
      </c>
      <c r="J27">
        <v>32</v>
      </c>
    </row>
    <row r="28" spans="1:10" x14ac:dyDescent="0.25">
      <c r="A28" t="s">
        <v>221</v>
      </c>
      <c r="B28" t="s">
        <v>219</v>
      </c>
      <c r="C28" s="286">
        <v>45158.002233796295</v>
      </c>
      <c r="D28">
        <v>5755</v>
      </c>
      <c r="E28">
        <v>4462</v>
      </c>
      <c r="F28">
        <v>81</v>
      </c>
      <c r="G28">
        <v>81</v>
      </c>
      <c r="H28">
        <v>77</v>
      </c>
      <c r="I28">
        <v>54</v>
      </c>
      <c r="J28">
        <v>33</v>
      </c>
    </row>
    <row r="29" spans="1:10" x14ac:dyDescent="0.25">
      <c r="A29" t="s">
        <v>167</v>
      </c>
      <c r="B29" t="s">
        <v>217</v>
      </c>
      <c r="C29" s="286">
        <v>45174.720532407409</v>
      </c>
      <c r="D29">
        <v>182578</v>
      </c>
      <c r="E29">
        <v>17622</v>
      </c>
      <c r="F29">
        <v>72</v>
      </c>
      <c r="G29">
        <v>77</v>
      </c>
      <c r="H29">
        <v>66</v>
      </c>
      <c r="I29">
        <v>17</v>
      </c>
      <c r="J29">
        <v>34</v>
      </c>
    </row>
    <row r="30" spans="1:10" x14ac:dyDescent="0.25">
      <c r="A30" t="s">
        <v>167</v>
      </c>
      <c r="B30" t="s">
        <v>340</v>
      </c>
      <c r="C30" s="286">
        <v>45135.376331018517</v>
      </c>
      <c r="D30">
        <v>0</v>
      </c>
      <c r="E30">
        <v>0</v>
      </c>
      <c r="F30">
        <v>98</v>
      </c>
      <c r="G30">
        <v>97</v>
      </c>
      <c r="H30">
        <v>97</v>
      </c>
      <c r="I30">
        <v>97</v>
      </c>
      <c r="J30">
        <v>35</v>
      </c>
    </row>
    <row r="31" spans="1:10" x14ac:dyDescent="0.25">
      <c r="A31" t="s">
        <v>185</v>
      </c>
      <c r="B31" t="s">
        <v>253</v>
      </c>
      <c r="C31" s="286">
        <v>45170.358252314814</v>
      </c>
      <c r="D31">
        <v>21796</v>
      </c>
      <c r="E31">
        <v>4527</v>
      </c>
      <c r="F31">
        <v>39</v>
      </c>
      <c r="G31">
        <v>42</v>
      </c>
      <c r="H31">
        <v>26</v>
      </c>
      <c r="I31">
        <v>30</v>
      </c>
      <c r="J31">
        <v>36</v>
      </c>
    </row>
    <row r="32" spans="1:10" x14ac:dyDescent="0.25">
      <c r="A32" t="s">
        <v>201</v>
      </c>
      <c r="B32" t="s">
        <v>197</v>
      </c>
      <c r="C32" s="286">
        <v>45170.001875000002</v>
      </c>
      <c r="D32">
        <v>56258</v>
      </c>
      <c r="E32">
        <v>3918</v>
      </c>
      <c r="F32">
        <v>83</v>
      </c>
      <c r="G32">
        <v>82</v>
      </c>
      <c r="H32">
        <v>79</v>
      </c>
      <c r="I32">
        <v>62</v>
      </c>
      <c r="J32">
        <v>37</v>
      </c>
    </row>
    <row r="33" spans="1:10" x14ac:dyDescent="0.25">
      <c r="A33" t="s">
        <v>344</v>
      </c>
      <c r="B33" t="s">
        <v>346</v>
      </c>
      <c r="C33" s="286">
        <v>45158.085219907407</v>
      </c>
      <c r="D33">
        <v>1044</v>
      </c>
      <c r="E33">
        <v>407</v>
      </c>
      <c r="F33">
        <v>95</v>
      </c>
      <c r="G33">
        <v>95</v>
      </c>
      <c r="H33">
        <v>96</v>
      </c>
      <c r="I33">
        <v>93</v>
      </c>
      <c r="J33">
        <v>38</v>
      </c>
    </row>
    <row r="34" spans="1:10" x14ac:dyDescent="0.25">
      <c r="A34" t="s">
        <v>289</v>
      </c>
      <c r="B34" t="s">
        <v>290</v>
      </c>
      <c r="C34" s="286">
        <v>45158.001701388886</v>
      </c>
      <c r="D34">
        <v>4540</v>
      </c>
      <c r="E34">
        <v>724</v>
      </c>
      <c r="F34">
        <v>95</v>
      </c>
      <c r="G34">
        <v>94</v>
      </c>
      <c r="H34">
        <v>95</v>
      </c>
      <c r="I34">
        <v>82</v>
      </c>
      <c r="J34">
        <v>39</v>
      </c>
    </row>
    <row r="35" spans="1:10" x14ac:dyDescent="0.25">
      <c r="A35" t="s">
        <v>169</v>
      </c>
      <c r="B35" t="s">
        <v>256</v>
      </c>
      <c r="C35" s="286">
        <v>45183.722592592596</v>
      </c>
      <c r="D35">
        <v>69447</v>
      </c>
      <c r="E35">
        <v>45063</v>
      </c>
      <c r="F35">
        <v>40</v>
      </c>
      <c r="G35">
        <v>48</v>
      </c>
      <c r="H35">
        <v>62</v>
      </c>
      <c r="I35">
        <v>24</v>
      </c>
      <c r="J35">
        <v>42</v>
      </c>
    </row>
    <row r="36" spans="1:10" x14ac:dyDescent="0.25">
      <c r="A36" t="s">
        <v>350</v>
      </c>
      <c r="B36" t="s">
        <v>286</v>
      </c>
      <c r="C36" s="286">
        <v>45158.043321759258</v>
      </c>
      <c r="D36">
        <v>6633</v>
      </c>
      <c r="E36">
        <v>1452</v>
      </c>
      <c r="F36">
        <v>91</v>
      </c>
      <c r="G36">
        <v>90</v>
      </c>
      <c r="H36">
        <v>90</v>
      </c>
      <c r="I36">
        <v>70</v>
      </c>
      <c r="J36">
        <v>43</v>
      </c>
    </row>
    <row r="37" spans="1:10" x14ac:dyDescent="0.25">
      <c r="A37" t="s">
        <v>282</v>
      </c>
      <c r="B37" t="s">
        <v>189</v>
      </c>
      <c r="C37" s="286">
        <v>45173.484201388892</v>
      </c>
      <c r="D37">
        <v>85821</v>
      </c>
      <c r="E37">
        <v>12834</v>
      </c>
      <c r="F37">
        <v>30</v>
      </c>
      <c r="G37">
        <v>19</v>
      </c>
      <c r="H37">
        <v>16</v>
      </c>
      <c r="I37">
        <v>70</v>
      </c>
      <c r="J37">
        <v>44</v>
      </c>
    </row>
    <row r="38" spans="1:10" x14ac:dyDescent="0.25">
      <c r="A38" t="s">
        <v>282</v>
      </c>
      <c r="B38" t="s">
        <v>190</v>
      </c>
      <c r="C38" s="286">
        <v>45182.674131944441</v>
      </c>
      <c r="D38">
        <v>50056</v>
      </c>
      <c r="E38">
        <v>8563</v>
      </c>
      <c r="F38">
        <v>70</v>
      </c>
      <c r="G38">
        <v>71</v>
      </c>
      <c r="H38">
        <v>68</v>
      </c>
      <c r="I38" s="287">
        <v>7</v>
      </c>
      <c r="J38">
        <v>45</v>
      </c>
    </row>
    <row r="39" spans="1:10" x14ac:dyDescent="0.25">
      <c r="A39" t="s">
        <v>170</v>
      </c>
      <c r="B39" t="s">
        <v>257</v>
      </c>
      <c r="C39" s="286">
        <v>45184.363715277781</v>
      </c>
      <c r="D39">
        <v>121941</v>
      </c>
      <c r="E39">
        <v>32248</v>
      </c>
      <c r="F39">
        <v>45</v>
      </c>
      <c r="G39">
        <v>51</v>
      </c>
      <c r="H39">
        <v>40</v>
      </c>
      <c r="I39">
        <v>69</v>
      </c>
      <c r="J39">
        <v>46</v>
      </c>
    </row>
    <row r="40" spans="1:10" x14ac:dyDescent="0.25">
      <c r="A40" t="s">
        <v>171</v>
      </c>
      <c r="B40" t="s">
        <v>258</v>
      </c>
      <c r="C40" s="286">
        <v>45158.001828703702</v>
      </c>
      <c r="D40">
        <v>69214</v>
      </c>
      <c r="E40">
        <v>0</v>
      </c>
      <c r="F40" s="287"/>
      <c r="G40" s="287"/>
      <c r="H40" s="287"/>
      <c r="I40">
        <v>55</v>
      </c>
      <c r="J40">
        <v>47</v>
      </c>
    </row>
    <row r="41" spans="1:10" x14ac:dyDescent="0.25">
      <c r="A41" t="s">
        <v>171</v>
      </c>
      <c r="B41" t="s">
        <v>237</v>
      </c>
      <c r="C41" s="286">
        <v>45183.398680555554</v>
      </c>
      <c r="D41">
        <v>25127</v>
      </c>
      <c r="E41">
        <v>4124</v>
      </c>
      <c r="F41">
        <v>81</v>
      </c>
      <c r="G41">
        <v>81</v>
      </c>
      <c r="H41">
        <v>82</v>
      </c>
      <c r="I41">
        <v>100</v>
      </c>
      <c r="J41">
        <v>48</v>
      </c>
    </row>
    <row r="42" spans="1:10" x14ac:dyDescent="0.25">
      <c r="A42" t="s">
        <v>171</v>
      </c>
      <c r="B42" t="s">
        <v>260</v>
      </c>
      <c r="C42" s="286">
        <v>45158.601550925923</v>
      </c>
      <c r="D42">
        <v>17882</v>
      </c>
      <c r="E42">
        <v>11680</v>
      </c>
      <c r="F42">
        <v>48</v>
      </c>
      <c r="G42">
        <v>47</v>
      </c>
      <c r="H42">
        <v>40</v>
      </c>
      <c r="I42">
        <v>72</v>
      </c>
      <c r="J42">
        <v>49</v>
      </c>
    </row>
    <row r="43" spans="1:10" x14ac:dyDescent="0.25">
      <c r="A43" t="s">
        <v>171</v>
      </c>
      <c r="B43" t="s">
        <v>259</v>
      </c>
      <c r="C43" s="286">
        <v>45183.388460648152</v>
      </c>
      <c r="D43">
        <v>412379</v>
      </c>
      <c r="E43">
        <v>21997</v>
      </c>
      <c r="F43">
        <v>96</v>
      </c>
      <c r="G43">
        <v>93</v>
      </c>
      <c r="H43">
        <v>95</v>
      </c>
      <c r="I43">
        <v>69</v>
      </c>
      <c r="J43">
        <v>50</v>
      </c>
    </row>
    <row r="44" spans="1:10" x14ac:dyDescent="0.25">
      <c r="A44" t="s">
        <v>178</v>
      </c>
      <c r="B44" t="s">
        <v>262</v>
      </c>
      <c r="C44" s="286">
        <v>45170.043993055559</v>
      </c>
      <c r="D44">
        <v>183560</v>
      </c>
      <c r="E44">
        <v>0</v>
      </c>
      <c r="F44" s="287"/>
      <c r="G44" s="287"/>
      <c r="H44" s="287"/>
      <c r="I44">
        <v>16</v>
      </c>
      <c r="J44">
        <v>51</v>
      </c>
    </row>
    <row r="45" spans="1:10" x14ac:dyDescent="0.25">
      <c r="A45" t="s">
        <v>172</v>
      </c>
      <c r="B45" t="s">
        <v>264</v>
      </c>
      <c r="C45" s="286">
        <v>45170.043773148151</v>
      </c>
      <c r="D45">
        <v>171304</v>
      </c>
      <c r="E45">
        <v>0</v>
      </c>
      <c r="F45" s="287"/>
      <c r="G45" s="287"/>
      <c r="H45" s="287"/>
      <c r="I45" s="287">
        <v>6</v>
      </c>
      <c r="J45">
        <v>52</v>
      </c>
    </row>
    <row r="46" spans="1:10" x14ac:dyDescent="0.25">
      <c r="A46" t="s">
        <v>173</v>
      </c>
      <c r="B46" t="s">
        <v>265</v>
      </c>
      <c r="C46" s="286">
        <v>45182.731435185182</v>
      </c>
      <c r="D46">
        <v>41022</v>
      </c>
      <c r="E46">
        <v>6348</v>
      </c>
      <c r="F46">
        <v>15</v>
      </c>
      <c r="G46">
        <v>13</v>
      </c>
      <c r="H46" s="287">
        <v>5</v>
      </c>
      <c r="I46">
        <v>99</v>
      </c>
      <c r="J46">
        <v>53</v>
      </c>
    </row>
    <row r="47" spans="1:10" x14ac:dyDescent="0.25">
      <c r="A47" t="s">
        <v>174</v>
      </c>
      <c r="B47" t="s">
        <v>266</v>
      </c>
      <c r="C47" s="286">
        <v>45180.374259259261</v>
      </c>
      <c r="D47">
        <v>105165</v>
      </c>
      <c r="E47">
        <v>45032</v>
      </c>
      <c r="F47">
        <v>87</v>
      </c>
      <c r="G47">
        <v>32</v>
      </c>
      <c r="H47">
        <v>92</v>
      </c>
      <c r="I47">
        <v>64</v>
      </c>
      <c r="J47">
        <v>54</v>
      </c>
    </row>
    <row r="48" spans="1:10" x14ac:dyDescent="0.25">
      <c r="A48" t="s">
        <v>175</v>
      </c>
      <c r="B48" t="s">
        <v>143</v>
      </c>
      <c r="C48" s="286">
        <v>45169.996053240742</v>
      </c>
      <c r="D48">
        <v>202696</v>
      </c>
      <c r="E48">
        <v>0</v>
      </c>
      <c r="F48" s="287"/>
      <c r="G48" s="287"/>
      <c r="H48" s="287"/>
      <c r="I48">
        <v>97</v>
      </c>
      <c r="J48">
        <v>55</v>
      </c>
    </row>
    <row r="49" spans="1:10" x14ac:dyDescent="0.25">
      <c r="A49" t="s">
        <v>175</v>
      </c>
      <c r="B49" t="s">
        <v>142</v>
      </c>
      <c r="C49" s="286">
        <v>45169.999027777776</v>
      </c>
      <c r="D49">
        <v>194717</v>
      </c>
      <c r="E49">
        <v>0</v>
      </c>
      <c r="F49" s="287"/>
      <c r="G49" s="287"/>
      <c r="H49" s="287"/>
      <c r="I49">
        <v>60</v>
      </c>
      <c r="J49">
        <v>56</v>
      </c>
    </row>
    <row r="50" spans="1:10" x14ac:dyDescent="0.25">
      <c r="A50" t="s">
        <v>360</v>
      </c>
      <c r="B50" t="s">
        <v>284</v>
      </c>
      <c r="C50" s="286">
        <v>45097.04351851852</v>
      </c>
      <c r="D50">
        <v>11889</v>
      </c>
      <c r="E50">
        <v>15160</v>
      </c>
      <c r="F50">
        <v>28</v>
      </c>
      <c r="G50">
        <v>21</v>
      </c>
      <c r="H50">
        <v>30</v>
      </c>
      <c r="I50">
        <v>21</v>
      </c>
      <c r="J50">
        <v>60</v>
      </c>
    </row>
    <row r="51" spans="1:10" x14ac:dyDescent="0.25">
      <c r="A51" t="s">
        <v>383</v>
      </c>
      <c r="C51" s="286">
        <v>45187.814629629633</v>
      </c>
      <c r="D51" t="s">
        <v>382</v>
      </c>
      <c r="E51">
        <v>0</v>
      </c>
      <c r="F51" s="287"/>
      <c r="G51" s="287"/>
      <c r="H51" s="287"/>
      <c r="I51" t="s">
        <v>382</v>
      </c>
      <c r="J51" t="s">
        <v>42</v>
      </c>
    </row>
    <row r="52" spans="1:10" x14ac:dyDescent="0.25">
      <c r="A52" t="s">
        <v>288</v>
      </c>
      <c r="B52">
        <v>1382800465</v>
      </c>
      <c r="C52" s="286">
        <v>45184.407766203702</v>
      </c>
      <c r="D52">
        <v>241487</v>
      </c>
      <c r="E52">
        <v>0</v>
      </c>
      <c r="F52" s="287"/>
      <c r="G52" s="287"/>
      <c r="H52" s="287"/>
      <c r="I52" s="287">
        <v>10</v>
      </c>
      <c r="J52" t="s">
        <v>42</v>
      </c>
    </row>
    <row r="53" spans="1:10" x14ac:dyDescent="0.25">
      <c r="A53" t="s">
        <v>384</v>
      </c>
      <c r="C53" s="286">
        <v>45183.855104166665</v>
      </c>
      <c r="D53" t="s">
        <v>382</v>
      </c>
      <c r="E53">
        <v>0</v>
      </c>
      <c r="F53" s="287"/>
      <c r="G53" s="287"/>
      <c r="H53" s="287"/>
      <c r="I53" t="s">
        <v>382</v>
      </c>
      <c r="J53" t="s">
        <v>42</v>
      </c>
    </row>
    <row r="54" spans="1:10" x14ac:dyDescent="0.25">
      <c r="A54" t="s">
        <v>378</v>
      </c>
      <c r="B54" t="s">
        <v>379</v>
      </c>
      <c r="C54" s="286">
        <v>45104.693530092591</v>
      </c>
      <c r="D54">
        <v>83528</v>
      </c>
      <c r="E54">
        <v>0</v>
      </c>
      <c r="F54" s="287"/>
      <c r="G54" s="287"/>
      <c r="H54" s="287"/>
      <c r="I54">
        <v>41</v>
      </c>
      <c r="J54" t="s">
        <v>42</v>
      </c>
    </row>
    <row r="55" spans="1:10" x14ac:dyDescent="0.25">
      <c r="A55" t="s">
        <v>374</v>
      </c>
      <c r="B55" t="s">
        <v>375</v>
      </c>
      <c r="C55" s="286">
        <v>45103.28125</v>
      </c>
      <c r="D55">
        <v>238436</v>
      </c>
      <c r="E55">
        <v>40230</v>
      </c>
      <c r="F55">
        <v>30</v>
      </c>
      <c r="G55">
        <v>43</v>
      </c>
      <c r="H55">
        <v>14</v>
      </c>
      <c r="I55">
        <v>74</v>
      </c>
      <c r="J55" t="s">
        <v>42</v>
      </c>
    </row>
    <row r="56" spans="1:10" x14ac:dyDescent="0.25">
      <c r="A56" t="s">
        <v>380</v>
      </c>
      <c r="B56" t="s">
        <v>381</v>
      </c>
      <c r="C56" s="286">
        <v>45095.291724537034</v>
      </c>
      <c r="D56">
        <v>53099</v>
      </c>
      <c r="E56">
        <v>0</v>
      </c>
      <c r="F56" s="287"/>
      <c r="G56" s="287"/>
      <c r="H56" s="287"/>
      <c r="I56">
        <v>72</v>
      </c>
      <c r="J56" t="s">
        <v>42</v>
      </c>
    </row>
    <row r="57" spans="1:10" x14ac:dyDescent="0.25">
      <c r="A57" t="s">
        <v>376</v>
      </c>
      <c r="B57" t="s">
        <v>377</v>
      </c>
      <c r="C57" s="286">
        <v>45078.317569444444</v>
      </c>
      <c r="D57">
        <v>40580</v>
      </c>
      <c r="E57">
        <v>22413</v>
      </c>
      <c r="F57">
        <v>61</v>
      </c>
      <c r="G57">
        <v>76</v>
      </c>
      <c r="H57">
        <v>30</v>
      </c>
      <c r="I57">
        <v>63</v>
      </c>
      <c r="J57" t="s">
        <v>42</v>
      </c>
    </row>
  </sheetData>
  <sortState xmlns:xlrd2="http://schemas.microsoft.com/office/spreadsheetml/2017/richdata2" ref="A2:J57">
    <sortCondition ref="J1:J5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57D12-E74E-4CFE-A2D0-F74FC5F16BEA}">
  <sheetPr codeName="Foglio41"/>
  <dimension ref="A1:AQ68"/>
  <sheetViews>
    <sheetView workbookViewId="0">
      <selection activeCell="E13" sqref="E13"/>
    </sheetView>
  </sheetViews>
  <sheetFormatPr defaultRowHeight="15" x14ac:dyDescent="0.25"/>
  <cols>
    <col min="1" max="1" width="34" bestFit="1" customWidth="1"/>
    <col min="2" max="2" width="11.8554687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43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43" x14ac:dyDescent="0.25">
      <c r="A2" s="176" t="s">
        <v>152</v>
      </c>
      <c r="L2" t="s">
        <v>152</v>
      </c>
      <c r="M2" t="s">
        <v>223</v>
      </c>
      <c r="N2" s="286">
        <v>45184.374259259261</v>
      </c>
      <c r="O2">
        <v>196710</v>
      </c>
      <c r="P2">
        <v>35239</v>
      </c>
      <c r="Q2" s="287">
        <v>5</v>
      </c>
      <c r="R2">
        <v>89</v>
      </c>
      <c r="S2">
        <v>69</v>
      </c>
      <c r="T2">
        <v>67</v>
      </c>
      <c r="U2">
        <v>2</v>
      </c>
    </row>
    <row r="3" spans="1:43" x14ac:dyDescent="0.25">
      <c r="A3" s="214" t="s">
        <v>184</v>
      </c>
      <c r="L3" t="s">
        <v>184</v>
      </c>
      <c r="M3" t="s">
        <v>224</v>
      </c>
      <c r="N3" s="286">
        <v>45180.582499999997</v>
      </c>
      <c r="O3">
        <v>14685</v>
      </c>
      <c r="P3">
        <v>20253</v>
      </c>
      <c r="Q3" s="287">
        <v>5</v>
      </c>
      <c r="R3">
        <v>16</v>
      </c>
      <c r="S3">
        <v>12</v>
      </c>
      <c r="T3">
        <v>37</v>
      </c>
      <c r="U3">
        <v>3</v>
      </c>
    </row>
    <row r="4" spans="1:43" x14ac:dyDescent="0.25">
      <c r="A4" s="7" t="s">
        <v>205</v>
      </c>
      <c r="L4" t="s">
        <v>205</v>
      </c>
      <c r="M4" t="s">
        <v>225</v>
      </c>
      <c r="N4" s="286">
        <v>45170.002060185187</v>
      </c>
      <c r="O4">
        <v>19547</v>
      </c>
      <c r="P4">
        <v>16093</v>
      </c>
      <c r="Q4">
        <v>52</v>
      </c>
      <c r="R4">
        <v>56</v>
      </c>
      <c r="S4">
        <v>53</v>
      </c>
      <c r="T4">
        <v>65</v>
      </c>
      <c r="U4">
        <v>4</v>
      </c>
    </row>
    <row r="5" spans="1:43" x14ac:dyDescent="0.25">
      <c r="A5" s="214" t="s">
        <v>154</v>
      </c>
      <c r="L5" t="s">
        <v>154</v>
      </c>
      <c r="M5" t="s">
        <v>228</v>
      </c>
      <c r="N5" s="286">
        <v>45177.751932870371</v>
      </c>
      <c r="O5">
        <v>106567</v>
      </c>
      <c r="P5">
        <v>24869</v>
      </c>
      <c r="Q5">
        <v>49</v>
      </c>
      <c r="R5">
        <v>57</v>
      </c>
      <c r="S5">
        <v>29</v>
      </c>
      <c r="T5">
        <v>79</v>
      </c>
      <c r="U5">
        <v>5</v>
      </c>
    </row>
    <row r="6" spans="1:43" x14ac:dyDescent="0.25">
      <c r="A6" s="214" t="s">
        <v>155</v>
      </c>
    </row>
    <row r="7" spans="1:43" x14ac:dyDescent="0.25">
      <c r="A7" s="214" t="s">
        <v>156</v>
      </c>
    </row>
    <row r="8" spans="1:43" x14ac:dyDescent="0.25">
      <c r="A8" s="214" t="s">
        <v>153</v>
      </c>
      <c r="W8" t="s">
        <v>158</v>
      </c>
      <c r="X8" t="s">
        <v>235</v>
      </c>
      <c r="Y8" s="286">
        <v>45180.289421296293</v>
      </c>
      <c r="Z8">
        <v>133729</v>
      </c>
      <c r="AA8">
        <v>19300</v>
      </c>
      <c r="AB8" s="287">
        <v>5</v>
      </c>
      <c r="AC8" s="287">
        <v>9</v>
      </c>
      <c r="AD8" s="287">
        <v>8</v>
      </c>
      <c r="AE8">
        <v>21</v>
      </c>
      <c r="AF8">
        <v>10</v>
      </c>
      <c r="AH8" t="s">
        <v>153</v>
      </c>
      <c r="AI8" t="s">
        <v>233</v>
      </c>
      <c r="AJ8" s="286">
        <v>45178.041967592595</v>
      </c>
      <c r="AK8">
        <v>29934</v>
      </c>
      <c r="AL8">
        <v>0</v>
      </c>
      <c r="AM8" s="287"/>
      <c r="AN8" s="287"/>
      <c r="AO8" s="287"/>
      <c r="AP8">
        <v>16</v>
      </c>
      <c r="AQ8">
        <v>8</v>
      </c>
    </row>
    <row r="9" spans="1:43" x14ac:dyDescent="0.25">
      <c r="A9" s="214" t="s">
        <v>157</v>
      </c>
      <c r="W9" t="s">
        <v>176</v>
      </c>
      <c r="X9" t="s">
        <v>236</v>
      </c>
      <c r="Y9" s="286">
        <v>45179.9608912037</v>
      </c>
      <c r="Z9">
        <v>31685</v>
      </c>
      <c r="AA9">
        <v>4749</v>
      </c>
      <c r="AB9">
        <v>68</v>
      </c>
      <c r="AC9">
        <v>69</v>
      </c>
      <c r="AD9">
        <v>64</v>
      </c>
      <c r="AE9">
        <v>30</v>
      </c>
      <c r="AF9">
        <v>11</v>
      </c>
      <c r="AH9" t="s">
        <v>157</v>
      </c>
      <c r="AI9" t="s">
        <v>234</v>
      </c>
      <c r="AJ9" s="286">
        <v>45184.384837962964</v>
      </c>
      <c r="AK9">
        <v>102367</v>
      </c>
      <c r="AL9">
        <v>33033</v>
      </c>
      <c r="AM9">
        <v>11</v>
      </c>
      <c r="AN9">
        <v>98</v>
      </c>
      <c r="AO9" s="287">
        <v>7</v>
      </c>
      <c r="AP9">
        <v>78</v>
      </c>
      <c r="AQ9">
        <v>9</v>
      </c>
    </row>
    <row r="10" spans="1:43" x14ac:dyDescent="0.25">
      <c r="A10" s="214" t="s">
        <v>158</v>
      </c>
    </row>
    <row r="11" spans="1:43" x14ac:dyDescent="0.25">
      <c r="A11" s="214" t="s">
        <v>176</v>
      </c>
    </row>
    <row r="12" spans="1:43" x14ac:dyDescent="0.25">
      <c r="A12" s="7" t="s">
        <v>203</v>
      </c>
      <c r="W12" t="s">
        <v>294</v>
      </c>
      <c r="X12" t="s">
        <v>293</v>
      </c>
      <c r="Y12" s="286">
        <v>45158.08556712963</v>
      </c>
      <c r="Z12">
        <v>11872</v>
      </c>
      <c r="AA12">
        <v>517</v>
      </c>
      <c r="AB12">
        <v>94</v>
      </c>
      <c r="AC12">
        <v>93</v>
      </c>
      <c r="AD12">
        <v>93</v>
      </c>
      <c r="AE12">
        <v>57</v>
      </c>
      <c r="AF12">
        <v>14</v>
      </c>
      <c r="AH12" t="s">
        <v>203</v>
      </c>
      <c r="AI12" t="s">
        <v>238</v>
      </c>
      <c r="AJ12" s="286">
        <v>45158.001863425925</v>
      </c>
      <c r="AK12">
        <v>42820</v>
      </c>
      <c r="AL12">
        <v>14846</v>
      </c>
      <c r="AM12">
        <v>38</v>
      </c>
      <c r="AN12">
        <v>40</v>
      </c>
      <c r="AO12">
        <v>35</v>
      </c>
      <c r="AP12">
        <v>72</v>
      </c>
      <c r="AQ12">
        <v>12</v>
      </c>
    </row>
    <row r="13" spans="1:43" x14ac:dyDescent="0.25">
      <c r="A13" s="7" t="s">
        <v>204</v>
      </c>
      <c r="W13" t="s">
        <v>160</v>
      </c>
      <c r="X13" t="s">
        <v>240</v>
      </c>
      <c r="Y13" s="286">
        <v>45181.375115740739</v>
      </c>
      <c r="Z13">
        <v>30045</v>
      </c>
      <c r="AA13">
        <v>18914</v>
      </c>
      <c r="AB13">
        <v>100</v>
      </c>
      <c r="AC13">
        <v>100</v>
      </c>
      <c r="AD13">
        <v>100</v>
      </c>
      <c r="AE13">
        <v>89</v>
      </c>
      <c r="AF13">
        <v>15</v>
      </c>
      <c r="AH13" t="s">
        <v>204</v>
      </c>
      <c r="AI13" t="s">
        <v>202</v>
      </c>
      <c r="AJ13" s="286">
        <v>45180.381712962961</v>
      </c>
      <c r="AK13">
        <v>128881</v>
      </c>
      <c r="AL13">
        <v>83552</v>
      </c>
      <c r="AM13">
        <v>59</v>
      </c>
      <c r="AN13">
        <v>41</v>
      </c>
      <c r="AO13" s="287">
        <v>5</v>
      </c>
      <c r="AP13">
        <v>21</v>
      </c>
      <c r="AQ13">
        <v>13</v>
      </c>
    </row>
    <row r="14" spans="1:43" x14ac:dyDescent="0.25">
      <c r="A14" s="7" t="s">
        <v>294</v>
      </c>
    </row>
    <row r="15" spans="1:43" x14ac:dyDescent="0.25">
      <c r="A15" s="214" t="s">
        <v>160</v>
      </c>
    </row>
    <row r="16" spans="1:43" x14ac:dyDescent="0.25">
      <c r="A16" s="214" t="s">
        <v>161</v>
      </c>
      <c r="W16" t="s">
        <v>162</v>
      </c>
      <c r="X16" t="s">
        <v>243</v>
      </c>
      <c r="Y16" s="286">
        <v>45181.627337962964</v>
      </c>
      <c r="Z16">
        <v>71511</v>
      </c>
      <c r="AA16">
        <v>5782</v>
      </c>
      <c r="AB16">
        <v>57</v>
      </c>
      <c r="AC16">
        <v>58</v>
      </c>
      <c r="AD16">
        <v>45</v>
      </c>
      <c r="AE16">
        <v>79</v>
      </c>
      <c r="AF16">
        <v>18</v>
      </c>
      <c r="AH16" t="s">
        <v>161</v>
      </c>
      <c r="AI16" t="s">
        <v>241</v>
      </c>
      <c r="AJ16" s="286">
        <v>45177.75267361111</v>
      </c>
      <c r="AK16">
        <v>38793</v>
      </c>
      <c r="AL16">
        <v>20891</v>
      </c>
      <c r="AM16" s="287">
        <v>5</v>
      </c>
      <c r="AN16" s="287">
        <v>10</v>
      </c>
      <c r="AO16" s="287">
        <v>5</v>
      </c>
      <c r="AP16">
        <v>59</v>
      </c>
      <c r="AQ16">
        <v>16</v>
      </c>
    </row>
    <row r="17" spans="1:43" x14ac:dyDescent="0.25">
      <c r="A17" s="214" t="s">
        <v>183</v>
      </c>
      <c r="W17" t="s">
        <v>317</v>
      </c>
      <c r="X17" t="s">
        <v>318</v>
      </c>
      <c r="Y17" s="286">
        <v>45158.085231481484</v>
      </c>
      <c r="Z17">
        <v>3742</v>
      </c>
      <c r="AA17">
        <v>424</v>
      </c>
      <c r="AB17">
        <v>96</v>
      </c>
      <c r="AC17">
        <v>94</v>
      </c>
      <c r="AD17">
        <v>95</v>
      </c>
      <c r="AE17">
        <v>83</v>
      </c>
      <c r="AF17">
        <v>19</v>
      </c>
      <c r="AH17" t="s">
        <v>183</v>
      </c>
      <c r="AI17" t="s">
        <v>242</v>
      </c>
      <c r="AJ17" s="286">
        <v>45161.687418981484</v>
      </c>
      <c r="AK17">
        <v>52646</v>
      </c>
      <c r="AL17">
        <v>0</v>
      </c>
      <c r="AM17" s="287"/>
      <c r="AN17" s="287"/>
      <c r="AO17" s="287"/>
      <c r="AP17" s="287">
        <v>5</v>
      </c>
      <c r="AQ17">
        <v>17</v>
      </c>
    </row>
    <row r="18" spans="1:43" x14ac:dyDescent="0.25">
      <c r="A18" s="214" t="s">
        <v>162</v>
      </c>
    </row>
    <row r="19" spans="1:43" x14ac:dyDescent="0.25">
      <c r="A19" s="7" t="s">
        <v>317</v>
      </c>
    </row>
    <row r="20" spans="1:43" x14ac:dyDescent="0.25">
      <c r="A20" s="214" t="s">
        <v>163</v>
      </c>
      <c r="W20" t="s">
        <v>165</v>
      </c>
      <c r="X20" t="s">
        <v>246</v>
      </c>
      <c r="Y20" s="286">
        <v>45170.043541666666</v>
      </c>
      <c r="Z20">
        <v>74960</v>
      </c>
      <c r="AA20">
        <v>35526</v>
      </c>
      <c r="AB20">
        <v>16</v>
      </c>
      <c r="AC20">
        <v>18</v>
      </c>
      <c r="AD20">
        <v>18</v>
      </c>
      <c r="AE20">
        <v>42</v>
      </c>
      <c r="AF20">
        <v>22</v>
      </c>
      <c r="AH20" t="s">
        <v>163</v>
      </c>
      <c r="AI20" t="s">
        <v>244</v>
      </c>
      <c r="AJ20" s="286">
        <v>45180.348263888889</v>
      </c>
      <c r="AK20">
        <v>44018</v>
      </c>
      <c r="AL20">
        <v>35869</v>
      </c>
      <c r="AM20">
        <v>87</v>
      </c>
      <c r="AN20">
        <v>67</v>
      </c>
      <c r="AO20">
        <v>72</v>
      </c>
      <c r="AP20">
        <v>95</v>
      </c>
      <c r="AQ20">
        <v>20</v>
      </c>
    </row>
    <row r="21" spans="1:43" x14ac:dyDescent="0.25">
      <c r="A21" s="214" t="s">
        <v>164</v>
      </c>
      <c r="W21" t="s">
        <v>177</v>
      </c>
      <c r="X21" t="s">
        <v>247</v>
      </c>
      <c r="Y21" s="286">
        <v>45170.547511574077</v>
      </c>
      <c r="Z21">
        <v>41979</v>
      </c>
      <c r="AA21">
        <v>13231</v>
      </c>
      <c r="AB21" s="287">
        <v>5</v>
      </c>
      <c r="AC21">
        <v>91</v>
      </c>
      <c r="AD21">
        <v>92</v>
      </c>
      <c r="AE21">
        <v>36</v>
      </c>
      <c r="AF21">
        <v>23</v>
      </c>
      <c r="AH21" t="s">
        <v>164</v>
      </c>
      <c r="AI21" t="s">
        <v>245</v>
      </c>
      <c r="AJ21" s="286">
        <v>45183.737303240741</v>
      </c>
      <c r="AK21">
        <v>47829</v>
      </c>
      <c r="AL21">
        <v>8657</v>
      </c>
      <c r="AM21">
        <v>12</v>
      </c>
      <c r="AN21">
        <v>22</v>
      </c>
      <c r="AO21" s="287">
        <v>5</v>
      </c>
      <c r="AP21" s="287">
        <v>6</v>
      </c>
      <c r="AQ21">
        <v>21</v>
      </c>
    </row>
    <row r="22" spans="1:43" x14ac:dyDescent="0.25">
      <c r="A22" s="214" t="s">
        <v>165</v>
      </c>
    </row>
    <row r="23" spans="1:43" x14ac:dyDescent="0.25">
      <c r="A23" s="214" t="s">
        <v>177</v>
      </c>
    </row>
    <row r="24" spans="1:43" x14ac:dyDescent="0.25">
      <c r="A24" s="214" t="s">
        <v>288</v>
      </c>
    </row>
    <row r="25" spans="1:43" x14ac:dyDescent="0.25">
      <c r="A25" s="7" t="s">
        <v>327</v>
      </c>
      <c r="W25" t="s">
        <v>168</v>
      </c>
      <c r="X25" t="s">
        <v>252</v>
      </c>
      <c r="Y25" s="286">
        <v>45170.045428240737</v>
      </c>
      <c r="Z25">
        <v>123085</v>
      </c>
      <c r="AA25">
        <v>88134</v>
      </c>
      <c r="AB25">
        <v>35</v>
      </c>
      <c r="AC25">
        <v>48</v>
      </c>
      <c r="AD25">
        <v>32</v>
      </c>
      <c r="AE25">
        <v>23</v>
      </c>
      <c r="AF25">
        <v>30</v>
      </c>
      <c r="AH25" t="s">
        <v>327</v>
      </c>
      <c r="AI25" t="s">
        <v>329</v>
      </c>
      <c r="AJ25" s="286">
        <v>45158.085185185184</v>
      </c>
      <c r="AK25">
        <v>19053</v>
      </c>
      <c r="AL25">
        <v>5479</v>
      </c>
      <c r="AM25">
        <v>29</v>
      </c>
      <c r="AN25">
        <v>33</v>
      </c>
      <c r="AO25">
        <v>34</v>
      </c>
      <c r="AP25">
        <v>52</v>
      </c>
      <c r="AQ25">
        <v>25</v>
      </c>
    </row>
    <row r="26" spans="1:43" x14ac:dyDescent="0.25">
      <c r="A26" s="7" t="s">
        <v>209</v>
      </c>
      <c r="W26" t="s">
        <v>193</v>
      </c>
      <c r="X26" t="s">
        <v>195</v>
      </c>
      <c r="Y26" s="286">
        <v>45170.084745370368</v>
      </c>
      <c r="Z26">
        <v>16081</v>
      </c>
      <c r="AA26">
        <v>9796</v>
      </c>
      <c r="AB26">
        <v>64</v>
      </c>
      <c r="AC26">
        <v>61</v>
      </c>
      <c r="AD26">
        <v>57</v>
      </c>
      <c r="AE26">
        <v>89</v>
      </c>
      <c r="AF26">
        <v>31</v>
      </c>
      <c r="AH26" t="s">
        <v>209</v>
      </c>
      <c r="AI26" t="s">
        <v>248</v>
      </c>
      <c r="AJ26" s="286">
        <v>45158.00240740741</v>
      </c>
      <c r="AK26">
        <v>18831</v>
      </c>
      <c r="AL26">
        <v>2207</v>
      </c>
      <c r="AM26">
        <v>86</v>
      </c>
      <c r="AN26">
        <v>85</v>
      </c>
      <c r="AO26">
        <v>84</v>
      </c>
      <c r="AP26">
        <v>13</v>
      </c>
      <c r="AQ26">
        <v>26</v>
      </c>
    </row>
    <row r="27" spans="1:43" x14ac:dyDescent="0.25">
      <c r="A27" s="214" t="s">
        <v>166</v>
      </c>
      <c r="W27" t="s">
        <v>251</v>
      </c>
      <c r="X27" t="s">
        <v>214</v>
      </c>
      <c r="Y27" s="286">
        <v>45158.001701388886</v>
      </c>
      <c r="Z27">
        <v>40797</v>
      </c>
      <c r="AA27">
        <v>5020</v>
      </c>
      <c r="AB27">
        <v>81</v>
      </c>
      <c r="AC27">
        <v>79</v>
      </c>
      <c r="AD27">
        <v>79</v>
      </c>
      <c r="AE27">
        <v>80</v>
      </c>
      <c r="AF27">
        <v>32</v>
      </c>
      <c r="AH27" t="s">
        <v>166</v>
      </c>
      <c r="AI27" t="s">
        <v>249</v>
      </c>
      <c r="AJ27" s="286">
        <v>45181.690046296295</v>
      </c>
      <c r="AK27">
        <v>46176</v>
      </c>
      <c r="AL27">
        <v>49285</v>
      </c>
      <c r="AM27">
        <v>19</v>
      </c>
      <c r="AN27" s="287">
        <v>5</v>
      </c>
      <c r="AO27" s="287">
        <v>5</v>
      </c>
      <c r="AP27">
        <v>71</v>
      </c>
      <c r="AQ27">
        <v>27</v>
      </c>
    </row>
    <row r="28" spans="1:43" x14ac:dyDescent="0.25">
      <c r="A28" s="214" t="s">
        <v>159</v>
      </c>
    </row>
    <row r="29" spans="1:43" x14ac:dyDescent="0.25">
      <c r="A29" s="96"/>
    </row>
    <row r="30" spans="1:43" x14ac:dyDescent="0.25">
      <c r="A30" s="7" t="s">
        <v>168</v>
      </c>
    </row>
    <row r="31" spans="1:43" x14ac:dyDescent="0.25">
      <c r="A31" s="7" t="s">
        <v>193</v>
      </c>
    </row>
    <row r="32" spans="1:43" x14ac:dyDescent="0.25">
      <c r="A32" s="7" t="s">
        <v>251</v>
      </c>
    </row>
    <row r="33" spans="1:43" x14ac:dyDescent="0.25">
      <c r="A33" s="7" t="s">
        <v>221</v>
      </c>
      <c r="W33" t="s">
        <v>344</v>
      </c>
      <c r="X33" t="s">
        <v>346</v>
      </c>
      <c r="Y33" s="286">
        <v>45158.085219907407</v>
      </c>
      <c r="Z33">
        <v>1044</v>
      </c>
      <c r="AA33">
        <v>407</v>
      </c>
      <c r="AB33">
        <v>95</v>
      </c>
      <c r="AC33">
        <v>95</v>
      </c>
      <c r="AD33">
        <v>96</v>
      </c>
      <c r="AE33">
        <v>93</v>
      </c>
      <c r="AF33">
        <v>38</v>
      </c>
      <c r="AH33" t="s">
        <v>221</v>
      </c>
      <c r="AI33" t="s">
        <v>219</v>
      </c>
      <c r="AJ33" s="286">
        <v>45158.002233796295</v>
      </c>
      <c r="AK33">
        <v>5755</v>
      </c>
      <c r="AL33">
        <v>4462</v>
      </c>
      <c r="AM33">
        <v>81</v>
      </c>
      <c r="AN33">
        <v>81</v>
      </c>
      <c r="AO33">
        <v>77</v>
      </c>
      <c r="AP33">
        <v>54</v>
      </c>
      <c r="AQ33">
        <v>33</v>
      </c>
    </row>
    <row r="34" spans="1:43" x14ac:dyDescent="0.25">
      <c r="A34" s="7" t="s">
        <v>167</v>
      </c>
      <c r="W34" t="s">
        <v>289</v>
      </c>
      <c r="X34" t="s">
        <v>290</v>
      </c>
      <c r="Y34" s="286">
        <v>45158.001701388886</v>
      </c>
      <c r="Z34">
        <v>4540</v>
      </c>
      <c r="AA34">
        <v>724</v>
      </c>
      <c r="AB34">
        <v>95</v>
      </c>
      <c r="AC34">
        <v>94</v>
      </c>
      <c r="AD34">
        <v>95</v>
      </c>
      <c r="AE34">
        <v>82</v>
      </c>
      <c r="AF34">
        <v>39</v>
      </c>
      <c r="AH34" t="s">
        <v>167</v>
      </c>
      <c r="AI34" t="s">
        <v>217</v>
      </c>
      <c r="AJ34" s="286">
        <v>45174.720532407409</v>
      </c>
      <c r="AK34">
        <v>182578</v>
      </c>
      <c r="AL34">
        <v>17622</v>
      </c>
      <c r="AM34">
        <v>72</v>
      </c>
      <c r="AN34">
        <v>77</v>
      </c>
      <c r="AO34">
        <v>66</v>
      </c>
      <c r="AP34">
        <v>17</v>
      </c>
      <c r="AQ34">
        <v>34</v>
      </c>
    </row>
    <row r="35" spans="1:43" x14ac:dyDescent="0.25">
      <c r="A35" s="7" t="s">
        <v>167</v>
      </c>
      <c r="W35" t="s">
        <v>169</v>
      </c>
      <c r="X35" t="s">
        <v>256</v>
      </c>
      <c r="Y35" s="286">
        <v>45183.722592592596</v>
      </c>
      <c r="Z35">
        <v>69447</v>
      </c>
      <c r="AA35">
        <v>45063</v>
      </c>
      <c r="AB35">
        <v>40</v>
      </c>
      <c r="AC35">
        <v>48</v>
      </c>
      <c r="AD35">
        <v>62</v>
      </c>
      <c r="AE35">
        <v>24</v>
      </c>
      <c r="AF35">
        <v>42</v>
      </c>
      <c r="AH35" t="s">
        <v>167</v>
      </c>
      <c r="AI35" t="s">
        <v>340</v>
      </c>
      <c r="AJ35" s="286">
        <v>45135.376331018517</v>
      </c>
      <c r="AK35">
        <v>0</v>
      </c>
      <c r="AL35">
        <v>0</v>
      </c>
      <c r="AM35">
        <v>98</v>
      </c>
      <c r="AN35">
        <v>97</v>
      </c>
      <c r="AO35">
        <v>97</v>
      </c>
      <c r="AP35">
        <v>97</v>
      </c>
      <c r="AQ35">
        <v>35</v>
      </c>
    </row>
    <row r="36" spans="1:43" x14ac:dyDescent="0.25">
      <c r="A36" s="7" t="s">
        <v>185</v>
      </c>
      <c r="W36" t="s">
        <v>350</v>
      </c>
      <c r="X36" t="s">
        <v>286</v>
      </c>
      <c r="Y36" s="286">
        <v>45158.043321759258</v>
      </c>
      <c r="Z36">
        <v>6633</v>
      </c>
      <c r="AA36">
        <v>1452</v>
      </c>
      <c r="AB36">
        <v>91</v>
      </c>
      <c r="AC36">
        <v>90</v>
      </c>
      <c r="AD36">
        <v>90</v>
      </c>
      <c r="AE36">
        <v>70</v>
      </c>
      <c r="AF36">
        <v>43</v>
      </c>
      <c r="AH36" t="s">
        <v>185</v>
      </c>
      <c r="AI36" t="s">
        <v>253</v>
      </c>
      <c r="AJ36" s="286">
        <v>45170.358252314814</v>
      </c>
      <c r="AK36">
        <v>21796</v>
      </c>
      <c r="AL36">
        <v>4527</v>
      </c>
      <c r="AM36">
        <v>39</v>
      </c>
      <c r="AN36">
        <v>42</v>
      </c>
      <c r="AO36">
        <v>26</v>
      </c>
      <c r="AP36">
        <v>30</v>
      </c>
      <c r="AQ36">
        <v>36</v>
      </c>
    </row>
    <row r="37" spans="1:43" x14ac:dyDescent="0.25">
      <c r="A37" s="7" t="s">
        <v>201</v>
      </c>
      <c r="W37" t="s">
        <v>282</v>
      </c>
      <c r="X37" t="s">
        <v>189</v>
      </c>
      <c r="Y37" s="286">
        <v>45173.484201388892</v>
      </c>
      <c r="Z37">
        <v>85821</v>
      </c>
      <c r="AA37">
        <v>12834</v>
      </c>
      <c r="AB37">
        <v>30</v>
      </c>
      <c r="AC37">
        <v>19</v>
      </c>
      <c r="AD37">
        <v>16</v>
      </c>
      <c r="AE37">
        <v>70</v>
      </c>
      <c r="AF37">
        <v>44</v>
      </c>
      <c r="AH37" t="s">
        <v>201</v>
      </c>
      <c r="AI37" t="s">
        <v>197</v>
      </c>
      <c r="AJ37" s="286">
        <v>45170.001875000002</v>
      </c>
      <c r="AK37">
        <v>56258</v>
      </c>
      <c r="AL37">
        <v>3918</v>
      </c>
      <c r="AM37">
        <v>83</v>
      </c>
      <c r="AN37">
        <v>82</v>
      </c>
      <c r="AO37">
        <v>79</v>
      </c>
      <c r="AP37">
        <v>62</v>
      </c>
      <c r="AQ37">
        <v>37</v>
      </c>
    </row>
    <row r="38" spans="1:43" x14ac:dyDescent="0.25">
      <c r="A38" t="s">
        <v>344</v>
      </c>
    </row>
    <row r="39" spans="1:43" x14ac:dyDescent="0.25">
      <c r="A39" s="7" t="s">
        <v>289</v>
      </c>
    </row>
    <row r="40" spans="1:43" x14ac:dyDescent="0.25">
      <c r="A40" s="97"/>
    </row>
    <row r="41" spans="1:43" x14ac:dyDescent="0.25">
      <c r="A41" s="96"/>
    </row>
    <row r="42" spans="1:43" x14ac:dyDescent="0.25">
      <c r="A42" s="7" t="s">
        <v>169</v>
      </c>
    </row>
    <row r="43" spans="1:43" x14ac:dyDescent="0.25">
      <c r="A43" t="s">
        <v>350</v>
      </c>
    </row>
    <row r="44" spans="1:43" x14ac:dyDescent="0.25">
      <c r="A44" s="7" t="s">
        <v>282</v>
      </c>
    </row>
    <row r="45" spans="1:43" x14ac:dyDescent="0.25">
      <c r="A45" s="7" t="s">
        <v>282</v>
      </c>
      <c r="W45" t="s">
        <v>172</v>
      </c>
      <c r="X45" t="s">
        <v>264</v>
      </c>
      <c r="Y45" s="286">
        <v>45170.043773148151</v>
      </c>
      <c r="Z45">
        <v>171304</v>
      </c>
      <c r="AA45">
        <v>0</v>
      </c>
      <c r="AB45" s="287"/>
      <c r="AC45" s="287"/>
      <c r="AD45" s="287"/>
      <c r="AE45" s="287">
        <v>6</v>
      </c>
      <c r="AF45">
        <v>52</v>
      </c>
      <c r="AH45" t="s">
        <v>282</v>
      </c>
      <c r="AI45" t="s">
        <v>190</v>
      </c>
      <c r="AJ45" s="286">
        <v>45182.674131944441</v>
      </c>
      <c r="AK45">
        <v>50056</v>
      </c>
      <c r="AL45">
        <v>8563</v>
      </c>
      <c r="AM45">
        <v>70</v>
      </c>
      <c r="AN45">
        <v>71</v>
      </c>
      <c r="AO45">
        <v>68</v>
      </c>
      <c r="AP45" s="287">
        <v>7</v>
      </c>
      <c r="AQ45">
        <v>45</v>
      </c>
    </row>
    <row r="46" spans="1:43" x14ac:dyDescent="0.25">
      <c r="A46" s="7" t="s">
        <v>170</v>
      </c>
      <c r="W46" t="s">
        <v>173</v>
      </c>
      <c r="X46" t="s">
        <v>265</v>
      </c>
      <c r="Y46" s="286">
        <v>45182.731435185182</v>
      </c>
      <c r="Z46">
        <v>41022</v>
      </c>
      <c r="AA46">
        <v>6348</v>
      </c>
      <c r="AB46">
        <v>15</v>
      </c>
      <c r="AC46">
        <v>13</v>
      </c>
      <c r="AD46" s="287">
        <v>5</v>
      </c>
      <c r="AE46">
        <v>99</v>
      </c>
      <c r="AF46">
        <v>53</v>
      </c>
      <c r="AH46" t="s">
        <v>170</v>
      </c>
      <c r="AI46" t="s">
        <v>257</v>
      </c>
      <c r="AJ46" s="286">
        <v>45184.363715277781</v>
      </c>
      <c r="AK46">
        <v>121941</v>
      </c>
      <c r="AL46">
        <v>32248</v>
      </c>
      <c r="AM46">
        <v>45</v>
      </c>
      <c r="AN46">
        <v>51</v>
      </c>
      <c r="AO46">
        <v>40</v>
      </c>
      <c r="AP46">
        <v>69</v>
      </c>
      <c r="AQ46">
        <v>46</v>
      </c>
    </row>
    <row r="47" spans="1:43" x14ac:dyDescent="0.25">
      <c r="A47" s="7" t="s">
        <v>171</v>
      </c>
      <c r="W47" t="s">
        <v>174</v>
      </c>
      <c r="X47" t="s">
        <v>266</v>
      </c>
      <c r="Y47" s="286">
        <v>45180.374259259261</v>
      </c>
      <c r="Z47">
        <v>105165</v>
      </c>
      <c r="AA47">
        <v>45032</v>
      </c>
      <c r="AB47">
        <v>87</v>
      </c>
      <c r="AC47">
        <v>32</v>
      </c>
      <c r="AD47">
        <v>92</v>
      </c>
      <c r="AE47">
        <v>64</v>
      </c>
      <c r="AF47">
        <v>54</v>
      </c>
      <c r="AH47" t="s">
        <v>171</v>
      </c>
      <c r="AI47" t="s">
        <v>258</v>
      </c>
      <c r="AJ47" s="286">
        <v>45158.001828703702</v>
      </c>
      <c r="AK47">
        <v>69214</v>
      </c>
      <c r="AL47">
        <v>0</v>
      </c>
      <c r="AM47" s="287"/>
      <c r="AN47" s="287"/>
      <c r="AO47" s="287"/>
      <c r="AP47">
        <v>55</v>
      </c>
      <c r="AQ47">
        <v>47</v>
      </c>
    </row>
    <row r="48" spans="1:43" x14ac:dyDescent="0.25">
      <c r="A48" s="7" t="s">
        <v>171</v>
      </c>
      <c r="W48" t="s">
        <v>175</v>
      </c>
      <c r="X48" t="s">
        <v>143</v>
      </c>
      <c r="Y48" s="286">
        <v>45169.996053240742</v>
      </c>
      <c r="Z48">
        <v>202696</v>
      </c>
      <c r="AA48">
        <v>0</v>
      </c>
      <c r="AB48" s="287"/>
      <c r="AC48" s="287"/>
      <c r="AD48" s="287"/>
      <c r="AE48">
        <v>97</v>
      </c>
      <c r="AF48">
        <v>55</v>
      </c>
      <c r="AH48" t="s">
        <v>171</v>
      </c>
      <c r="AI48" t="s">
        <v>237</v>
      </c>
      <c r="AJ48" s="286">
        <v>45183.398680555554</v>
      </c>
      <c r="AK48">
        <v>25127</v>
      </c>
      <c r="AL48">
        <v>4124</v>
      </c>
      <c r="AM48">
        <v>81</v>
      </c>
      <c r="AN48">
        <v>81</v>
      </c>
      <c r="AO48">
        <v>82</v>
      </c>
      <c r="AP48">
        <v>100</v>
      </c>
      <c r="AQ48">
        <v>48</v>
      </c>
    </row>
    <row r="49" spans="1:43" x14ac:dyDescent="0.25">
      <c r="A49" s="7" t="s">
        <v>171</v>
      </c>
      <c r="W49" t="s">
        <v>175</v>
      </c>
      <c r="X49" t="s">
        <v>142</v>
      </c>
      <c r="Y49" s="286">
        <v>45169.999027777776</v>
      </c>
      <c r="Z49">
        <v>194717</v>
      </c>
      <c r="AA49">
        <v>0</v>
      </c>
      <c r="AB49" s="287"/>
      <c r="AC49" s="287"/>
      <c r="AD49" s="287"/>
      <c r="AE49">
        <v>60</v>
      </c>
      <c r="AF49">
        <v>56</v>
      </c>
      <c r="AH49" t="s">
        <v>171</v>
      </c>
      <c r="AI49" t="s">
        <v>260</v>
      </c>
      <c r="AJ49" s="286">
        <v>45158.601550925923</v>
      </c>
      <c r="AK49">
        <v>17882</v>
      </c>
      <c r="AL49">
        <v>11680</v>
      </c>
      <c r="AM49">
        <v>48</v>
      </c>
      <c r="AN49">
        <v>47</v>
      </c>
      <c r="AO49">
        <v>40</v>
      </c>
      <c r="AP49">
        <v>72</v>
      </c>
      <c r="AQ49">
        <v>49</v>
      </c>
    </row>
    <row r="50" spans="1:43" x14ac:dyDescent="0.25">
      <c r="A50" s="7" t="s">
        <v>171</v>
      </c>
      <c r="W50" t="s">
        <v>360</v>
      </c>
      <c r="X50" t="s">
        <v>284</v>
      </c>
      <c r="Y50" s="286">
        <v>45097.04351851852</v>
      </c>
      <c r="Z50">
        <v>11889</v>
      </c>
      <c r="AA50">
        <v>15160</v>
      </c>
      <c r="AB50">
        <v>28</v>
      </c>
      <c r="AC50">
        <v>21</v>
      </c>
      <c r="AD50">
        <v>30</v>
      </c>
      <c r="AE50">
        <v>21</v>
      </c>
      <c r="AF50">
        <v>60</v>
      </c>
      <c r="AH50" t="s">
        <v>171</v>
      </c>
      <c r="AI50" t="s">
        <v>259</v>
      </c>
      <c r="AJ50" s="286">
        <v>45183.388460648152</v>
      </c>
      <c r="AK50">
        <v>412379</v>
      </c>
      <c r="AL50">
        <v>21997</v>
      </c>
      <c r="AM50">
        <v>96</v>
      </c>
      <c r="AN50">
        <v>93</v>
      </c>
      <c r="AO50">
        <v>95</v>
      </c>
      <c r="AP50">
        <v>69</v>
      </c>
      <c r="AQ50">
        <v>50</v>
      </c>
    </row>
    <row r="51" spans="1:43" x14ac:dyDescent="0.25">
      <c r="A51" s="7" t="s">
        <v>178</v>
      </c>
      <c r="W51" t="s">
        <v>383</v>
      </c>
      <c r="Y51" s="286">
        <v>45187.814629629633</v>
      </c>
      <c r="Z51" t="s">
        <v>382</v>
      </c>
      <c r="AA51">
        <v>0</v>
      </c>
      <c r="AB51" s="287"/>
      <c r="AC51" s="287"/>
      <c r="AD51" s="287"/>
      <c r="AE51" t="s">
        <v>382</v>
      </c>
      <c r="AF51" t="s">
        <v>42</v>
      </c>
      <c r="AH51" t="s">
        <v>178</v>
      </c>
      <c r="AI51" t="s">
        <v>262</v>
      </c>
      <c r="AJ51" s="286">
        <v>45170.043993055559</v>
      </c>
      <c r="AK51">
        <v>183560</v>
      </c>
      <c r="AL51">
        <v>0</v>
      </c>
      <c r="AM51" s="287"/>
      <c r="AN51" s="287"/>
      <c r="AO51" s="287"/>
      <c r="AP51">
        <v>16</v>
      </c>
      <c r="AQ51">
        <v>51</v>
      </c>
    </row>
    <row r="52" spans="1:43" x14ac:dyDescent="0.25">
      <c r="A52" s="7" t="s">
        <v>172</v>
      </c>
    </row>
    <row r="53" spans="1:43" x14ac:dyDescent="0.25">
      <c r="A53" s="7" t="s">
        <v>173</v>
      </c>
    </row>
    <row r="54" spans="1:43" x14ac:dyDescent="0.25">
      <c r="A54" s="7" t="s">
        <v>174</v>
      </c>
    </row>
    <row r="55" spans="1:43" x14ac:dyDescent="0.25">
      <c r="A55" s="7" t="s">
        <v>175</v>
      </c>
    </row>
    <row r="56" spans="1:43" x14ac:dyDescent="0.25">
      <c r="A56" s="7" t="s">
        <v>175</v>
      </c>
    </row>
    <row r="60" spans="1:43" x14ac:dyDescent="0.25">
      <c r="A60" s="164" t="s">
        <v>360</v>
      </c>
    </row>
    <row r="61" spans="1:43" x14ac:dyDescent="0.25">
      <c r="A61" s="7" t="s">
        <v>327</v>
      </c>
    </row>
    <row r="63" spans="1:43" x14ac:dyDescent="0.25">
      <c r="L63" t="s">
        <v>288</v>
      </c>
      <c r="M63">
        <v>1382800465</v>
      </c>
      <c r="N63" s="286">
        <v>45184.407766203702</v>
      </c>
      <c r="O63">
        <v>241487</v>
      </c>
      <c r="P63">
        <v>0</v>
      </c>
      <c r="Q63" s="287"/>
      <c r="R63" s="287"/>
      <c r="S63" s="287"/>
      <c r="T63" s="287">
        <v>10</v>
      </c>
      <c r="U63" t="s">
        <v>42</v>
      </c>
    </row>
    <row r="64" spans="1:43" x14ac:dyDescent="0.25">
      <c r="L64" t="s">
        <v>384</v>
      </c>
      <c r="N64" s="286">
        <v>45183.855104166665</v>
      </c>
      <c r="O64" t="s">
        <v>382</v>
      </c>
      <c r="P64">
        <v>0</v>
      </c>
      <c r="Q64" s="287"/>
      <c r="R64" s="287"/>
      <c r="S64" s="287"/>
      <c r="T64" t="s">
        <v>382</v>
      </c>
      <c r="U64" t="s">
        <v>42</v>
      </c>
    </row>
    <row r="65" spans="12:21" x14ac:dyDescent="0.25">
      <c r="L65" t="s">
        <v>378</v>
      </c>
      <c r="M65" t="s">
        <v>379</v>
      </c>
      <c r="N65" s="286">
        <v>45104.693530092591</v>
      </c>
      <c r="O65">
        <v>83528</v>
      </c>
      <c r="P65">
        <v>0</v>
      </c>
      <c r="Q65" s="287"/>
      <c r="R65" s="287"/>
      <c r="S65" s="287"/>
      <c r="T65">
        <v>41</v>
      </c>
      <c r="U65" t="s">
        <v>42</v>
      </c>
    </row>
    <row r="66" spans="12:21" x14ac:dyDescent="0.25">
      <c r="L66" t="s">
        <v>374</v>
      </c>
      <c r="M66" t="s">
        <v>375</v>
      </c>
      <c r="N66" s="286">
        <v>45103.28125</v>
      </c>
      <c r="O66">
        <v>238436</v>
      </c>
      <c r="P66">
        <v>40230</v>
      </c>
      <c r="Q66">
        <v>30</v>
      </c>
      <c r="R66">
        <v>43</v>
      </c>
      <c r="S66">
        <v>14</v>
      </c>
      <c r="T66">
        <v>74</v>
      </c>
      <c r="U66" t="s">
        <v>42</v>
      </c>
    </row>
    <row r="67" spans="12:21" x14ac:dyDescent="0.25">
      <c r="L67" t="s">
        <v>380</v>
      </c>
      <c r="M67" t="s">
        <v>381</v>
      </c>
      <c r="N67" s="286">
        <v>45095.291724537034</v>
      </c>
      <c r="O67">
        <v>53099</v>
      </c>
      <c r="P67">
        <v>0</v>
      </c>
      <c r="Q67" s="287"/>
      <c r="R67" s="287"/>
      <c r="S67" s="287"/>
      <c r="T67">
        <v>72</v>
      </c>
      <c r="U67" t="s">
        <v>42</v>
      </c>
    </row>
    <row r="68" spans="12:21" x14ac:dyDescent="0.25">
      <c r="L68" t="s">
        <v>376</v>
      </c>
      <c r="M68" t="s">
        <v>377</v>
      </c>
      <c r="N68" s="286">
        <v>45078.317569444444</v>
      </c>
      <c r="O68">
        <v>40580</v>
      </c>
      <c r="P68">
        <v>22413</v>
      </c>
      <c r="Q68">
        <v>61</v>
      </c>
      <c r="R68">
        <v>76</v>
      </c>
      <c r="S68">
        <v>30</v>
      </c>
      <c r="T68">
        <v>63</v>
      </c>
      <c r="U68" t="s">
        <v>42</v>
      </c>
    </row>
  </sheetData>
  <sortState xmlns:xlrd2="http://schemas.microsoft.com/office/spreadsheetml/2017/richdata2" ref="A2:J57">
    <sortCondition ref="J1:J57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526BE-3BEE-4DF1-BB31-F049B0A844C6}">
  <sheetPr codeName="Foglio40"/>
  <dimension ref="A1:J1"/>
  <sheetViews>
    <sheetView workbookViewId="0">
      <selection activeCell="K8" sqref="K8"/>
    </sheetView>
  </sheetViews>
  <sheetFormatPr defaultRowHeight="15" x14ac:dyDescent="0.25"/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53290-22F9-4AF9-8552-E866D3AF31E2}">
  <sheetPr codeName="Foglio39"/>
  <dimension ref="A1:J10"/>
  <sheetViews>
    <sheetView workbookViewId="0">
      <selection activeCell="J11" sqref="J11"/>
    </sheetView>
  </sheetViews>
  <sheetFormatPr defaultRowHeight="15" x14ac:dyDescent="0.25"/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165</v>
      </c>
      <c r="B2" t="s">
        <v>246</v>
      </c>
      <c r="C2" s="286">
        <v>45170.043553240743</v>
      </c>
      <c r="D2">
        <v>74960</v>
      </c>
      <c r="E2">
        <v>35526</v>
      </c>
      <c r="F2">
        <v>16</v>
      </c>
      <c r="G2">
        <v>18</v>
      </c>
      <c r="H2">
        <v>18</v>
      </c>
      <c r="I2">
        <v>42</v>
      </c>
      <c r="J2">
        <v>22</v>
      </c>
    </row>
    <row r="3" spans="1:10" x14ac:dyDescent="0.25">
      <c r="A3" t="s">
        <v>165</v>
      </c>
      <c r="B3" t="s">
        <v>246</v>
      </c>
      <c r="C3" s="286">
        <v>45139.043356481481</v>
      </c>
      <c r="D3">
        <v>73752</v>
      </c>
      <c r="E3">
        <v>35089</v>
      </c>
      <c r="F3">
        <v>19</v>
      </c>
      <c r="G3">
        <v>21</v>
      </c>
      <c r="H3">
        <v>23</v>
      </c>
      <c r="I3">
        <v>50</v>
      </c>
      <c r="J3">
        <v>22</v>
      </c>
    </row>
    <row r="4" spans="1:10" x14ac:dyDescent="0.25">
      <c r="A4" t="s">
        <v>165</v>
      </c>
      <c r="B4" t="s">
        <v>246</v>
      </c>
      <c r="C4" s="286">
        <v>45108.043287037035</v>
      </c>
      <c r="D4">
        <v>72432</v>
      </c>
      <c r="E4">
        <v>34307</v>
      </c>
      <c r="F4">
        <v>26</v>
      </c>
      <c r="G4">
        <v>27</v>
      </c>
      <c r="H4">
        <v>32</v>
      </c>
      <c r="I4">
        <v>60</v>
      </c>
      <c r="J4">
        <v>22</v>
      </c>
    </row>
    <row r="5" spans="1:10" x14ac:dyDescent="0.25">
      <c r="A5" t="s">
        <v>165</v>
      </c>
      <c r="B5" t="s">
        <v>246</v>
      </c>
      <c r="C5" s="286">
        <v>45078.043252314812</v>
      </c>
      <c r="D5">
        <v>71365</v>
      </c>
      <c r="E5">
        <v>33612</v>
      </c>
      <c r="F5">
        <v>30</v>
      </c>
      <c r="G5">
        <v>31</v>
      </c>
      <c r="H5">
        <v>37</v>
      </c>
      <c r="I5">
        <v>69</v>
      </c>
      <c r="J5">
        <v>22</v>
      </c>
    </row>
    <row r="6" spans="1:10" x14ac:dyDescent="0.25">
      <c r="A6" t="s">
        <v>385</v>
      </c>
      <c r="C6" s="286">
        <v>45188.652488425927</v>
      </c>
      <c r="D6" t="s">
        <v>382</v>
      </c>
      <c r="E6">
        <v>0</v>
      </c>
      <c r="F6" s="287"/>
      <c r="G6" s="287"/>
      <c r="H6" s="287"/>
      <c r="I6" t="s">
        <v>382</v>
      </c>
      <c r="J6" t="s">
        <v>42</v>
      </c>
    </row>
    <row r="7" spans="1:10" x14ac:dyDescent="0.25">
      <c r="A7" t="s">
        <v>158</v>
      </c>
      <c r="B7" t="s">
        <v>235</v>
      </c>
      <c r="C7" s="286">
        <v>45180.289421296293</v>
      </c>
      <c r="D7">
        <v>133729</v>
      </c>
      <c r="E7">
        <v>19300</v>
      </c>
      <c r="F7" s="287">
        <v>5</v>
      </c>
      <c r="G7" s="287">
        <v>9</v>
      </c>
      <c r="H7" s="287">
        <v>8</v>
      </c>
      <c r="I7">
        <v>21</v>
      </c>
      <c r="J7">
        <v>10</v>
      </c>
    </row>
    <row r="8" spans="1:10" x14ac:dyDescent="0.25">
      <c r="A8" t="s">
        <v>158</v>
      </c>
      <c r="B8" t="s">
        <v>235</v>
      </c>
      <c r="C8" s="286">
        <v>45173.726759259262</v>
      </c>
      <c r="D8">
        <v>133513</v>
      </c>
      <c r="E8">
        <v>19300</v>
      </c>
      <c r="F8" s="287">
        <v>5</v>
      </c>
      <c r="G8" s="287">
        <v>9</v>
      </c>
      <c r="H8" s="287">
        <v>8</v>
      </c>
      <c r="I8">
        <v>22</v>
      </c>
      <c r="J8">
        <v>10</v>
      </c>
    </row>
    <row r="9" spans="1:10" x14ac:dyDescent="0.25">
      <c r="A9" t="s">
        <v>158</v>
      </c>
      <c r="B9" t="s">
        <v>235</v>
      </c>
      <c r="C9" s="286">
        <v>45173.289976851855</v>
      </c>
      <c r="D9">
        <v>133368</v>
      </c>
      <c r="E9">
        <v>19300</v>
      </c>
      <c r="F9" s="287">
        <v>5</v>
      </c>
      <c r="G9" s="287">
        <v>9</v>
      </c>
      <c r="H9" s="287">
        <v>8</v>
      </c>
      <c r="I9">
        <v>23</v>
      </c>
      <c r="J9">
        <v>10</v>
      </c>
    </row>
    <row r="10" spans="1:10" x14ac:dyDescent="0.25">
      <c r="A10" t="s">
        <v>158</v>
      </c>
      <c r="B10" t="s">
        <v>235</v>
      </c>
      <c r="C10" s="286">
        <v>45166.644953703704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5DD1F-3572-4743-B888-01C6E06DB3C0}">
  <sheetPr codeName="Foglio38"/>
  <dimension ref="A1:J2"/>
  <sheetViews>
    <sheetView workbookViewId="0">
      <selection activeCell="J9" sqref="J9"/>
    </sheetView>
  </sheetViews>
  <sheetFormatPr defaultRowHeight="15" x14ac:dyDescent="0.25"/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163</v>
      </c>
      <c r="B2" t="s">
        <v>244</v>
      </c>
      <c r="C2" s="286">
        <v>45122.345775462964</v>
      </c>
      <c r="D2">
        <v>42880</v>
      </c>
      <c r="E2">
        <v>35325</v>
      </c>
      <c r="F2">
        <v>91</v>
      </c>
      <c r="G2">
        <v>71</v>
      </c>
      <c r="H2">
        <v>77</v>
      </c>
      <c r="I2" s="287">
        <v>5</v>
      </c>
      <c r="J2">
        <v>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8F84B-A9E3-470E-B748-88CB47C3D985}">
  <sheetPr codeName="Foglio37"/>
  <dimension ref="A1:J6"/>
  <sheetViews>
    <sheetView workbookViewId="0">
      <selection activeCell="L12" sqref="L12"/>
    </sheetView>
  </sheetViews>
  <sheetFormatPr defaultRowHeight="15" x14ac:dyDescent="0.25"/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165</v>
      </c>
      <c r="B2" t="s">
        <v>246</v>
      </c>
      <c r="C2" s="286">
        <v>45170.043553240743</v>
      </c>
      <c r="D2">
        <v>74960</v>
      </c>
      <c r="E2">
        <v>35526</v>
      </c>
      <c r="F2">
        <v>16</v>
      </c>
      <c r="G2">
        <v>18</v>
      </c>
      <c r="H2">
        <v>18</v>
      </c>
      <c r="I2">
        <v>42</v>
      </c>
      <c r="J2">
        <v>22</v>
      </c>
    </row>
    <row r="3" spans="1:10" x14ac:dyDescent="0.25">
      <c r="A3" t="s">
        <v>165</v>
      </c>
      <c r="B3" t="s">
        <v>246</v>
      </c>
      <c r="C3" s="286">
        <v>45139.043356481481</v>
      </c>
      <c r="D3">
        <v>73752</v>
      </c>
      <c r="E3">
        <v>35089</v>
      </c>
      <c r="F3">
        <v>19</v>
      </c>
      <c r="G3">
        <v>21</v>
      </c>
      <c r="H3">
        <v>23</v>
      </c>
      <c r="I3">
        <v>50</v>
      </c>
      <c r="J3">
        <v>22</v>
      </c>
    </row>
    <row r="4" spans="1:10" x14ac:dyDescent="0.25">
      <c r="A4" t="s">
        <v>165</v>
      </c>
      <c r="B4" t="s">
        <v>246</v>
      </c>
      <c r="C4" s="286">
        <v>45108.043287037035</v>
      </c>
      <c r="D4">
        <v>72432</v>
      </c>
      <c r="E4">
        <v>34307</v>
      </c>
      <c r="F4">
        <v>26</v>
      </c>
      <c r="G4">
        <v>27</v>
      </c>
      <c r="H4">
        <v>32</v>
      </c>
      <c r="I4">
        <v>60</v>
      </c>
      <c r="J4">
        <v>22</v>
      </c>
    </row>
    <row r="5" spans="1:10" x14ac:dyDescent="0.25">
      <c r="A5" t="s">
        <v>165</v>
      </c>
      <c r="B5" t="s">
        <v>246</v>
      </c>
      <c r="C5" s="286">
        <v>45078.043252314812</v>
      </c>
      <c r="D5">
        <v>71365</v>
      </c>
      <c r="E5">
        <v>33612</v>
      </c>
      <c r="F5">
        <v>30</v>
      </c>
      <c r="G5">
        <v>31</v>
      </c>
      <c r="H5">
        <v>37</v>
      </c>
      <c r="I5">
        <v>69</v>
      </c>
      <c r="J5">
        <v>22</v>
      </c>
    </row>
    <row r="6" spans="1:10" x14ac:dyDescent="0.25">
      <c r="A6" t="s">
        <v>385</v>
      </c>
      <c r="B6" t="s">
        <v>246</v>
      </c>
      <c r="C6" s="286">
        <v>45188.652488425927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14B11-AD8C-4AA9-B984-9AFF3B118DA3}">
  <sheetPr codeName="Foglio36"/>
  <dimension ref="A1:J6"/>
  <sheetViews>
    <sheetView workbookViewId="0">
      <selection activeCell="H15" sqref="H15"/>
    </sheetView>
  </sheetViews>
  <sheetFormatPr defaultRowHeight="15" x14ac:dyDescent="0.25"/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165</v>
      </c>
      <c r="B2" t="s">
        <v>246</v>
      </c>
      <c r="C2" s="286">
        <v>45170.043553240743</v>
      </c>
      <c r="D2">
        <v>74960</v>
      </c>
      <c r="E2">
        <v>35526</v>
      </c>
      <c r="F2">
        <v>16</v>
      </c>
      <c r="G2">
        <v>18</v>
      </c>
      <c r="H2">
        <v>18</v>
      </c>
      <c r="I2">
        <v>42</v>
      </c>
      <c r="J2">
        <v>22</v>
      </c>
    </row>
    <row r="3" spans="1:10" x14ac:dyDescent="0.25">
      <c r="A3" t="s">
        <v>165</v>
      </c>
      <c r="B3" t="s">
        <v>246</v>
      </c>
      <c r="C3" s="286">
        <v>45139.043356481481</v>
      </c>
      <c r="D3">
        <v>73752</v>
      </c>
      <c r="E3">
        <v>35089</v>
      </c>
      <c r="F3">
        <v>19</v>
      </c>
      <c r="G3">
        <v>21</v>
      </c>
      <c r="H3">
        <v>23</v>
      </c>
      <c r="I3">
        <v>50</v>
      </c>
      <c r="J3">
        <v>22</v>
      </c>
    </row>
    <row r="4" spans="1:10" x14ac:dyDescent="0.25">
      <c r="A4" t="s">
        <v>165</v>
      </c>
      <c r="B4" t="s">
        <v>246</v>
      </c>
      <c r="C4" s="286">
        <v>45108.043287037035</v>
      </c>
      <c r="D4">
        <v>72432</v>
      </c>
      <c r="E4">
        <v>34307</v>
      </c>
      <c r="F4">
        <v>26</v>
      </c>
      <c r="G4">
        <v>27</v>
      </c>
      <c r="H4">
        <v>32</v>
      </c>
      <c r="I4">
        <v>60</v>
      </c>
      <c r="J4">
        <v>22</v>
      </c>
    </row>
    <row r="5" spans="1:10" x14ac:dyDescent="0.25">
      <c r="A5" t="s">
        <v>165</v>
      </c>
      <c r="B5" t="s">
        <v>246</v>
      </c>
      <c r="C5" s="286">
        <v>45078.043252314812</v>
      </c>
      <c r="D5">
        <v>71365</v>
      </c>
      <c r="E5">
        <v>33612</v>
      </c>
      <c r="F5">
        <v>30</v>
      </c>
      <c r="G5">
        <v>31</v>
      </c>
      <c r="H5">
        <v>37</v>
      </c>
      <c r="I5">
        <v>69</v>
      </c>
      <c r="J5">
        <v>22</v>
      </c>
    </row>
    <row r="6" spans="1:10" x14ac:dyDescent="0.25">
      <c r="A6" t="s">
        <v>385</v>
      </c>
      <c r="B6" t="s">
        <v>246</v>
      </c>
      <c r="C6" s="286">
        <v>45188.652488425927</v>
      </c>
      <c r="D6">
        <v>71365</v>
      </c>
      <c r="E6">
        <v>33612</v>
      </c>
      <c r="F6">
        <v>30</v>
      </c>
      <c r="G6">
        <v>31</v>
      </c>
      <c r="H6">
        <v>37</v>
      </c>
      <c r="I6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DE147-A6DE-4467-8536-531D2AFDCFBD}">
  <sheetPr codeName="Foglio35"/>
  <dimension ref="A1:J4"/>
  <sheetViews>
    <sheetView workbookViewId="0">
      <selection activeCell="E13" sqref="E13"/>
    </sheetView>
  </sheetViews>
  <sheetFormatPr defaultRowHeight="15" x14ac:dyDescent="0.25"/>
  <cols>
    <col min="1" max="1" width="35.140625" bestFit="1" customWidth="1"/>
    <col min="2" max="2" width="11.14062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158</v>
      </c>
      <c r="B2" t="s">
        <v>235</v>
      </c>
      <c r="C2" s="286">
        <v>45180.289421296293</v>
      </c>
      <c r="D2">
        <v>133729</v>
      </c>
      <c r="E2">
        <v>19300</v>
      </c>
      <c r="F2" s="287">
        <v>5</v>
      </c>
      <c r="G2" s="287">
        <v>9</v>
      </c>
      <c r="H2" s="287">
        <v>8</v>
      </c>
      <c r="I2">
        <v>21</v>
      </c>
      <c r="J2">
        <v>10</v>
      </c>
    </row>
    <row r="3" spans="1:10" x14ac:dyDescent="0.25">
      <c r="A3" t="s">
        <v>385</v>
      </c>
      <c r="B3" t="s">
        <v>246</v>
      </c>
      <c r="C3" s="286">
        <v>45188.652488425927</v>
      </c>
      <c r="D3" t="s">
        <v>382</v>
      </c>
      <c r="E3">
        <v>33612</v>
      </c>
      <c r="F3">
        <v>30</v>
      </c>
      <c r="G3">
        <v>31</v>
      </c>
      <c r="H3">
        <v>37</v>
      </c>
      <c r="I3" t="s">
        <v>382</v>
      </c>
      <c r="J3">
        <v>22</v>
      </c>
    </row>
    <row r="4" spans="1:10" x14ac:dyDescent="0.25">
      <c r="A4" t="s">
        <v>165</v>
      </c>
      <c r="B4" t="s">
        <v>246</v>
      </c>
      <c r="C4" s="286">
        <v>45170.043553240743</v>
      </c>
      <c r="D4">
        <v>74960</v>
      </c>
      <c r="E4">
        <v>35526</v>
      </c>
      <c r="F4">
        <v>16</v>
      </c>
      <c r="G4">
        <v>18</v>
      </c>
      <c r="H4">
        <v>18</v>
      </c>
      <c r="I4">
        <v>42</v>
      </c>
      <c r="J4">
        <v>22</v>
      </c>
    </row>
  </sheetData>
  <sortState xmlns:xlrd2="http://schemas.microsoft.com/office/spreadsheetml/2017/richdata2" ref="A2:J4">
    <sortCondition ref="J1:J4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5C4E5-469F-44D6-A0C2-3025FF31B0D6}">
  <sheetPr codeName="Foglio34"/>
  <dimension ref="A1:J3"/>
  <sheetViews>
    <sheetView workbookViewId="0">
      <selection activeCell="D13" sqref="D13"/>
    </sheetView>
  </sheetViews>
  <sheetFormatPr defaultRowHeight="15" x14ac:dyDescent="0.25"/>
  <cols>
    <col min="1" max="1" width="30.140625" bestFit="1" customWidth="1"/>
    <col min="2" max="2" width="11.14062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163</v>
      </c>
      <c r="B2" t="s">
        <v>244</v>
      </c>
      <c r="C2" s="286">
        <v>45180.348263888889</v>
      </c>
      <c r="D2">
        <v>44018</v>
      </c>
      <c r="E2">
        <v>35869</v>
      </c>
      <c r="F2">
        <v>87</v>
      </c>
      <c r="G2">
        <v>67</v>
      </c>
      <c r="H2">
        <v>72</v>
      </c>
      <c r="I2">
        <v>95</v>
      </c>
      <c r="J2">
        <v>20</v>
      </c>
    </row>
    <row r="3" spans="1:10" x14ac:dyDescent="0.25">
      <c r="A3" t="s">
        <v>383</v>
      </c>
      <c r="C3" s="286">
        <v>45187.814629629633</v>
      </c>
      <c r="D3" t="s">
        <v>382</v>
      </c>
      <c r="E3">
        <v>0</v>
      </c>
      <c r="F3" s="287"/>
      <c r="G3" s="287"/>
      <c r="H3" s="287"/>
      <c r="I3" t="s">
        <v>382</v>
      </c>
      <c r="J3" t="s">
        <v>42</v>
      </c>
    </row>
  </sheetData>
  <sortState xmlns:xlrd2="http://schemas.microsoft.com/office/spreadsheetml/2017/richdata2" ref="A2:J3">
    <sortCondition ref="J1:J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4D35C-96E6-4A20-9706-D51FF135C54F}">
  <sheetPr codeName="Foglio33"/>
  <dimension ref="A1:J2"/>
  <sheetViews>
    <sheetView workbookViewId="0">
      <selection activeCell="D9" sqref="D9"/>
    </sheetView>
  </sheetViews>
  <sheetFormatPr defaultRowHeight="15" x14ac:dyDescent="0.25"/>
  <cols>
    <col min="1" max="1" width="30.140625" bestFit="1" customWidth="1"/>
    <col min="2" max="2" width="7.14062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383</v>
      </c>
      <c r="C2" s="286">
        <v>45187.814629629633</v>
      </c>
      <c r="D2" t="s">
        <v>382</v>
      </c>
      <c r="E2">
        <v>0</v>
      </c>
      <c r="F2" s="287"/>
      <c r="G2" s="287"/>
      <c r="H2" s="287"/>
      <c r="I2" t="s">
        <v>382</v>
      </c>
      <c r="J2" t="s">
        <v>42</v>
      </c>
    </row>
  </sheetData>
  <sortState xmlns:xlrd2="http://schemas.microsoft.com/office/spreadsheetml/2017/richdata2" ref="A2:J2">
    <sortCondition ref="J1:J2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F4DB3-880E-4375-8D6D-66F84AAC052A}">
  <sheetPr codeName="Foglio32"/>
  <dimension ref="A1:J60"/>
  <sheetViews>
    <sheetView workbookViewId="0">
      <selection activeCell="E12" sqref="E12"/>
    </sheetView>
  </sheetViews>
  <sheetFormatPr defaultRowHeight="15" x14ac:dyDescent="0.25"/>
  <cols>
    <col min="1" max="1" width="34" bestFit="1" customWidth="1"/>
    <col min="2" max="2" width="11.8554687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152</v>
      </c>
      <c r="B2" t="s">
        <v>223</v>
      </c>
      <c r="C2" s="286">
        <v>45184.374259259261</v>
      </c>
      <c r="D2">
        <v>196710</v>
      </c>
      <c r="E2">
        <v>35239</v>
      </c>
      <c r="F2" s="287">
        <v>5</v>
      </c>
      <c r="G2">
        <v>89</v>
      </c>
      <c r="H2">
        <v>69</v>
      </c>
      <c r="I2">
        <v>67</v>
      </c>
      <c r="J2">
        <v>2</v>
      </c>
    </row>
    <row r="3" spans="1:10" x14ac:dyDescent="0.25">
      <c r="A3" t="s">
        <v>184</v>
      </c>
      <c r="B3" t="s">
        <v>224</v>
      </c>
      <c r="C3" s="286">
        <v>45180.582499999997</v>
      </c>
      <c r="D3">
        <v>14685</v>
      </c>
      <c r="E3">
        <v>20253</v>
      </c>
      <c r="F3" s="287">
        <v>5</v>
      </c>
      <c r="G3">
        <v>16</v>
      </c>
      <c r="H3">
        <v>12</v>
      </c>
      <c r="I3">
        <v>37</v>
      </c>
      <c r="J3">
        <v>3</v>
      </c>
    </row>
    <row r="4" spans="1:10" x14ac:dyDescent="0.25">
      <c r="A4" t="s">
        <v>205</v>
      </c>
      <c r="B4" t="s">
        <v>225</v>
      </c>
      <c r="C4" s="286">
        <v>45170.002060185187</v>
      </c>
      <c r="D4">
        <v>19547</v>
      </c>
      <c r="E4">
        <v>16093</v>
      </c>
      <c r="F4">
        <v>52</v>
      </c>
      <c r="G4">
        <v>56</v>
      </c>
      <c r="H4">
        <v>53</v>
      </c>
      <c r="I4">
        <v>65</v>
      </c>
      <c r="J4">
        <v>4</v>
      </c>
    </row>
    <row r="5" spans="1:10" x14ac:dyDescent="0.25">
      <c r="A5" t="s">
        <v>154</v>
      </c>
      <c r="B5" t="s">
        <v>228</v>
      </c>
      <c r="C5" s="286">
        <v>45177.751932870371</v>
      </c>
      <c r="D5">
        <v>106567</v>
      </c>
      <c r="E5">
        <v>24869</v>
      </c>
      <c r="F5">
        <v>49</v>
      </c>
      <c r="G5">
        <v>57</v>
      </c>
      <c r="H5">
        <v>29</v>
      </c>
      <c r="I5">
        <v>79</v>
      </c>
      <c r="J5">
        <v>5</v>
      </c>
    </row>
    <row r="6" spans="1:10" x14ac:dyDescent="0.25">
      <c r="A6" t="s">
        <v>155</v>
      </c>
      <c r="B6" t="s">
        <v>230</v>
      </c>
      <c r="C6" s="286">
        <v>45179.001736111109</v>
      </c>
      <c r="D6">
        <v>259766</v>
      </c>
      <c r="E6">
        <v>21997</v>
      </c>
      <c r="F6">
        <v>96</v>
      </c>
      <c r="G6">
        <v>93</v>
      </c>
      <c r="H6">
        <v>95</v>
      </c>
      <c r="I6">
        <v>88</v>
      </c>
      <c r="J6">
        <v>6</v>
      </c>
    </row>
    <row r="7" spans="1:10" x14ac:dyDescent="0.25">
      <c r="A7" t="s">
        <v>156</v>
      </c>
      <c r="B7" t="s">
        <v>231</v>
      </c>
      <c r="C7" s="286">
        <v>45179.002314814818</v>
      </c>
      <c r="D7">
        <v>111219</v>
      </c>
      <c r="E7">
        <v>21997</v>
      </c>
      <c r="F7">
        <v>96</v>
      </c>
      <c r="G7">
        <v>93</v>
      </c>
      <c r="H7">
        <v>95</v>
      </c>
      <c r="I7" s="287">
        <v>10</v>
      </c>
      <c r="J7">
        <v>7</v>
      </c>
    </row>
    <row r="8" spans="1:10" x14ac:dyDescent="0.25">
      <c r="A8" t="s">
        <v>153</v>
      </c>
      <c r="B8" t="s">
        <v>233</v>
      </c>
      <c r="C8" s="286">
        <v>45178.041967592595</v>
      </c>
      <c r="D8">
        <v>29934</v>
      </c>
      <c r="E8">
        <v>12834</v>
      </c>
      <c r="F8">
        <v>30</v>
      </c>
      <c r="G8">
        <v>19</v>
      </c>
      <c r="H8">
        <v>16</v>
      </c>
      <c r="I8">
        <v>16</v>
      </c>
      <c r="J8">
        <v>8</v>
      </c>
    </row>
    <row r="9" spans="1:10" x14ac:dyDescent="0.25">
      <c r="A9" t="s">
        <v>157</v>
      </c>
      <c r="B9" t="s">
        <v>234</v>
      </c>
      <c r="C9" s="286">
        <v>45184.384837962964</v>
      </c>
      <c r="D9">
        <v>102367</v>
      </c>
      <c r="E9">
        <v>33033</v>
      </c>
      <c r="F9">
        <v>11</v>
      </c>
      <c r="G9">
        <v>98</v>
      </c>
      <c r="H9" s="287">
        <v>7</v>
      </c>
      <c r="I9">
        <v>78</v>
      </c>
      <c r="J9">
        <v>9</v>
      </c>
    </row>
    <row r="10" spans="1:10" x14ac:dyDescent="0.25">
      <c r="A10" t="s">
        <v>383</v>
      </c>
      <c r="B10" t="s">
        <v>235</v>
      </c>
      <c r="C10" s="286">
        <v>45187.814629629633</v>
      </c>
      <c r="D10" t="s">
        <v>382</v>
      </c>
      <c r="E10">
        <v>19285</v>
      </c>
      <c r="F10" s="287">
        <v>5</v>
      </c>
      <c r="G10" s="287">
        <v>10</v>
      </c>
      <c r="H10" s="287">
        <v>9</v>
      </c>
      <c r="I10" t="s">
        <v>382</v>
      </c>
      <c r="J10">
        <v>10</v>
      </c>
    </row>
    <row r="11" spans="1:10" x14ac:dyDescent="0.25">
      <c r="A11" t="s">
        <v>384</v>
      </c>
      <c r="B11" t="s">
        <v>235</v>
      </c>
      <c r="C11" s="286">
        <v>45183.855104166665</v>
      </c>
      <c r="D11" t="s">
        <v>382</v>
      </c>
      <c r="E11">
        <v>19285</v>
      </c>
      <c r="F11" s="287">
        <v>5</v>
      </c>
      <c r="G11" s="287">
        <v>10</v>
      </c>
      <c r="H11" s="287">
        <v>9</v>
      </c>
      <c r="I11" t="s">
        <v>382</v>
      </c>
      <c r="J11">
        <v>10</v>
      </c>
    </row>
    <row r="12" spans="1:10" x14ac:dyDescent="0.25">
      <c r="A12" t="s">
        <v>158</v>
      </c>
      <c r="B12" t="s">
        <v>235</v>
      </c>
      <c r="C12" s="286">
        <v>45180.289421296293</v>
      </c>
      <c r="D12">
        <v>133729</v>
      </c>
      <c r="E12">
        <v>19300</v>
      </c>
      <c r="F12" s="287">
        <v>5</v>
      </c>
      <c r="G12" s="287">
        <v>9</v>
      </c>
      <c r="H12" s="287">
        <v>8</v>
      </c>
      <c r="I12">
        <v>21</v>
      </c>
      <c r="J12">
        <v>10</v>
      </c>
    </row>
    <row r="13" spans="1:10" x14ac:dyDescent="0.25">
      <c r="A13" t="s">
        <v>176</v>
      </c>
      <c r="B13" t="s">
        <v>236</v>
      </c>
      <c r="C13" s="286">
        <v>45179.9608912037</v>
      </c>
      <c r="D13">
        <v>31685</v>
      </c>
      <c r="E13">
        <v>4749</v>
      </c>
      <c r="F13">
        <v>68</v>
      </c>
      <c r="G13">
        <v>69</v>
      </c>
      <c r="H13">
        <v>64</v>
      </c>
      <c r="I13">
        <v>30</v>
      </c>
      <c r="J13">
        <v>11</v>
      </c>
    </row>
    <row r="14" spans="1:10" x14ac:dyDescent="0.25">
      <c r="A14" t="s">
        <v>203</v>
      </c>
      <c r="B14" t="s">
        <v>238</v>
      </c>
      <c r="C14" s="286">
        <v>45158.001863425925</v>
      </c>
      <c r="D14">
        <v>42820</v>
      </c>
      <c r="E14">
        <v>14846</v>
      </c>
      <c r="F14">
        <v>38</v>
      </c>
      <c r="G14">
        <v>40</v>
      </c>
      <c r="H14">
        <v>35</v>
      </c>
      <c r="I14">
        <v>72</v>
      </c>
      <c r="J14">
        <v>12</v>
      </c>
    </row>
    <row r="15" spans="1:10" x14ac:dyDescent="0.25">
      <c r="A15" t="s">
        <v>204</v>
      </c>
      <c r="B15" t="s">
        <v>202</v>
      </c>
      <c r="C15" s="286">
        <v>45180.381712962961</v>
      </c>
      <c r="D15">
        <v>128881</v>
      </c>
      <c r="E15">
        <v>83552</v>
      </c>
      <c r="F15">
        <v>59</v>
      </c>
      <c r="G15">
        <v>41</v>
      </c>
      <c r="H15" s="287">
        <v>5</v>
      </c>
      <c r="I15">
        <v>21</v>
      </c>
      <c r="J15">
        <v>13</v>
      </c>
    </row>
    <row r="16" spans="1:10" x14ac:dyDescent="0.25">
      <c r="A16" t="s">
        <v>294</v>
      </c>
      <c r="B16" t="s">
        <v>293</v>
      </c>
      <c r="C16" s="286">
        <v>45158.08556712963</v>
      </c>
      <c r="D16">
        <v>11872</v>
      </c>
      <c r="E16">
        <v>517</v>
      </c>
      <c r="F16">
        <v>94</v>
      </c>
      <c r="G16">
        <v>93</v>
      </c>
      <c r="H16">
        <v>93</v>
      </c>
      <c r="I16">
        <v>57</v>
      </c>
      <c r="J16">
        <v>14</v>
      </c>
    </row>
    <row r="17" spans="1:10" x14ac:dyDescent="0.25">
      <c r="A17" t="s">
        <v>160</v>
      </c>
      <c r="B17" t="s">
        <v>240</v>
      </c>
      <c r="C17" s="286">
        <v>45181.375115740739</v>
      </c>
      <c r="D17">
        <v>30045</v>
      </c>
      <c r="E17">
        <v>18914</v>
      </c>
      <c r="F17">
        <v>100</v>
      </c>
      <c r="G17">
        <v>100</v>
      </c>
      <c r="H17">
        <v>100</v>
      </c>
      <c r="I17">
        <v>89</v>
      </c>
      <c r="J17">
        <v>15</v>
      </c>
    </row>
    <row r="18" spans="1:10" x14ac:dyDescent="0.25">
      <c r="A18" t="s">
        <v>161</v>
      </c>
      <c r="B18" t="s">
        <v>241</v>
      </c>
      <c r="C18" s="286">
        <v>45177.75267361111</v>
      </c>
      <c r="D18">
        <v>38793</v>
      </c>
      <c r="E18">
        <v>20891</v>
      </c>
      <c r="F18" s="287">
        <v>5</v>
      </c>
      <c r="G18" s="287">
        <v>10</v>
      </c>
      <c r="H18" s="287">
        <v>5</v>
      </c>
      <c r="I18">
        <v>59</v>
      </c>
      <c r="J18">
        <v>16</v>
      </c>
    </row>
    <row r="19" spans="1:10" x14ac:dyDescent="0.25">
      <c r="A19" t="s">
        <v>183</v>
      </c>
      <c r="B19" t="s">
        <v>242</v>
      </c>
      <c r="C19" s="286">
        <v>45161.687418981484</v>
      </c>
      <c r="D19">
        <v>52646</v>
      </c>
      <c r="E19">
        <v>33033</v>
      </c>
      <c r="F19">
        <v>11</v>
      </c>
      <c r="G19">
        <v>98</v>
      </c>
      <c r="H19" s="287">
        <v>7</v>
      </c>
      <c r="I19" s="287">
        <v>5</v>
      </c>
      <c r="J19">
        <v>17</v>
      </c>
    </row>
    <row r="20" spans="1:10" x14ac:dyDescent="0.25">
      <c r="A20" t="s">
        <v>162</v>
      </c>
      <c r="B20" t="s">
        <v>243</v>
      </c>
      <c r="C20" s="286">
        <v>45181.627337962964</v>
      </c>
      <c r="D20">
        <v>71511</v>
      </c>
      <c r="E20">
        <v>5782</v>
      </c>
      <c r="F20">
        <v>57</v>
      </c>
      <c r="G20">
        <v>58</v>
      </c>
      <c r="H20">
        <v>45</v>
      </c>
      <c r="I20">
        <v>79</v>
      </c>
      <c r="J20">
        <v>18</v>
      </c>
    </row>
    <row r="21" spans="1:10" x14ac:dyDescent="0.25">
      <c r="A21" t="s">
        <v>317</v>
      </c>
      <c r="B21" t="s">
        <v>318</v>
      </c>
      <c r="C21" s="286">
        <v>45158.085231481484</v>
      </c>
      <c r="D21">
        <v>3742</v>
      </c>
      <c r="E21">
        <v>424</v>
      </c>
      <c r="F21">
        <v>96</v>
      </c>
      <c r="G21">
        <v>94</v>
      </c>
      <c r="H21">
        <v>95</v>
      </c>
      <c r="I21">
        <v>83</v>
      </c>
      <c r="J21">
        <v>19</v>
      </c>
    </row>
    <row r="22" spans="1:10" x14ac:dyDescent="0.25">
      <c r="A22" t="s">
        <v>163</v>
      </c>
      <c r="B22" t="s">
        <v>244</v>
      </c>
      <c r="C22" s="286">
        <v>45180.348263888889</v>
      </c>
      <c r="D22">
        <v>44018</v>
      </c>
      <c r="E22">
        <v>35869</v>
      </c>
      <c r="F22">
        <v>87</v>
      </c>
      <c r="G22">
        <v>67</v>
      </c>
      <c r="H22">
        <v>72</v>
      </c>
      <c r="I22">
        <v>95</v>
      </c>
      <c r="J22">
        <v>20</v>
      </c>
    </row>
    <row r="23" spans="1:10" x14ac:dyDescent="0.25">
      <c r="A23" t="s">
        <v>164</v>
      </c>
      <c r="B23" t="s">
        <v>245</v>
      </c>
      <c r="C23" s="286">
        <v>45183.737303240741</v>
      </c>
      <c r="D23">
        <v>47829</v>
      </c>
      <c r="E23">
        <v>8657</v>
      </c>
      <c r="F23">
        <v>12</v>
      </c>
      <c r="G23">
        <v>22</v>
      </c>
      <c r="H23" s="287">
        <v>5</v>
      </c>
      <c r="I23" s="287">
        <v>6</v>
      </c>
      <c r="J23">
        <v>21</v>
      </c>
    </row>
    <row r="24" spans="1:10" x14ac:dyDescent="0.25">
      <c r="A24" t="s">
        <v>165</v>
      </c>
      <c r="B24" t="s">
        <v>246</v>
      </c>
      <c r="C24" s="286">
        <v>45170.043553240743</v>
      </c>
      <c r="D24">
        <v>74960</v>
      </c>
      <c r="E24">
        <v>35526</v>
      </c>
      <c r="F24">
        <v>16</v>
      </c>
      <c r="G24">
        <v>18</v>
      </c>
      <c r="H24">
        <v>18</v>
      </c>
      <c r="I24">
        <v>42</v>
      </c>
      <c r="J24">
        <v>22</v>
      </c>
    </row>
    <row r="25" spans="1:10" x14ac:dyDescent="0.25">
      <c r="A25" t="s">
        <v>177</v>
      </c>
      <c r="B25" t="s">
        <v>247</v>
      </c>
      <c r="C25" s="286">
        <v>45170.547511574077</v>
      </c>
      <c r="D25">
        <v>41979</v>
      </c>
      <c r="E25">
        <v>13231</v>
      </c>
      <c r="F25" s="287">
        <v>5</v>
      </c>
      <c r="G25">
        <v>91</v>
      </c>
      <c r="H25">
        <v>92</v>
      </c>
      <c r="I25">
        <v>36</v>
      </c>
      <c r="J25">
        <v>23</v>
      </c>
    </row>
    <row r="26" spans="1:10" x14ac:dyDescent="0.25">
      <c r="A26" t="s">
        <v>327</v>
      </c>
      <c r="B26" t="s">
        <v>329</v>
      </c>
      <c r="C26" s="286">
        <v>45158.085185185184</v>
      </c>
      <c r="D26">
        <v>19053</v>
      </c>
      <c r="E26">
        <v>5479</v>
      </c>
      <c r="F26">
        <v>29</v>
      </c>
      <c r="G26">
        <v>33</v>
      </c>
      <c r="H26">
        <v>34</v>
      </c>
      <c r="I26">
        <v>52</v>
      </c>
      <c r="J26">
        <v>25</v>
      </c>
    </row>
    <row r="27" spans="1:10" x14ac:dyDescent="0.25">
      <c r="A27" t="s">
        <v>209</v>
      </c>
      <c r="B27" t="s">
        <v>248</v>
      </c>
      <c r="C27" s="286">
        <v>45158.00240740741</v>
      </c>
      <c r="D27">
        <v>18831</v>
      </c>
      <c r="E27">
        <v>2207</v>
      </c>
      <c r="F27">
        <v>86</v>
      </c>
      <c r="G27">
        <v>85</v>
      </c>
      <c r="H27">
        <v>84</v>
      </c>
      <c r="I27">
        <v>13</v>
      </c>
      <c r="J27">
        <v>26</v>
      </c>
    </row>
    <row r="28" spans="1:10" x14ac:dyDescent="0.25">
      <c r="A28" t="s">
        <v>166</v>
      </c>
      <c r="B28" t="s">
        <v>249</v>
      </c>
      <c r="C28" s="286">
        <v>45181.690046296295</v>
      </c>
      <c r="D28">
        <v>46176</v>
      </c>
      <c r="E28">
        <v>49285</v>
      </c>
      <c r="F28">
        <v>19</v>
      </c>
      <c r="G28" s="287">
        <v>5</v>
      </c>
      <c r="H28" s="287">
        <v>5</v>
      </c>
      <c r="I28">
        <v>71</v>
      </c>
      <c r="J28">
        <v>27</v>
      </c>
    </row>
    <row r="29" spans="1:10" x14ac:dyDescent="0.25">
      <c r="A29" t="s">
        <v>159</v>
      </c>
      <c r="B29" t="s">
        <v>250</v>
      </c>
      <c r="C29" s="286">
        <v>45180.291145833333</v>
      </c>
      <c r="D29" t="s">
        <v>382</v>
      </c>
      <c r="E29">
        <v>8657</v>
      </c>
      <c r="F29">
        <v>12</v>
      </c>
      <c r="G29">
        <v>22</v>
      </c>
      <c r="H29" s="287">
        <v>5</v>
      </c>
      <c r="I29" t="s">
        <v>382</v>
      </c>
      <c r="J29">
        <v>28</v>
      </c>
    </row>
    <row r="30" spans="1:10" x14ac:dyDescent="0.25">
      <c r="A30" t="s">
        <v>168</v>
      </c>
      <c r="B30" t="s">
        <v>252</v>
      </c>
      <c r="C30" s="286">
        <v>45170.045428240737</v>
      </c>
      <c r="D30">
        <v>123085</v>
      </c>
      <c r="E30">
        <v>88134</v>
      </c>
      <c r="F30">
        <v>35</v>
      </c>
      <c r="G30">
        <v>48</v>
      </c>
      <c r="H30">
        <v>32</v>
      </c>
      <c r="I30">
        <v>23</v>
      </c>
      <c r="J30">
        <v>30</v>
      </c>
    </row>
    <row r="31" spans="1:10" x14ac:dyDescent="0.25">
      <c r="A31" t="s">
        <v>193</v>
      </c>
      <c r="B31" t="s">
        <v>195</v>
      </c>
      <c r="C31" s="286">
        <v>45170.084745370368</v>
      </c>
      <c r="D31">
        <v>16081</v>
      </c>
      <c r="E31">
        <v>9796</v>
      </c>
      <c r="F31">
        <v>64</v>
      </c>
      <c r="G31">
        <v>61</v>
      </c>
      <c r="H31">
        <v>57</v>
      </c>
      <c r="I31">
        <v>89</v>
      </c>
      <c r="J31">
        <v>31</v>
      </c>
    </row>
    <row r="32" spans="1:10" x14ac:dyDescent="0.25">
      <c r="A32" t="s">
        <v>251</v>
      </c>
      <c r="B32" t="s">
        <v>214</v>
      </c>
      <c r="C32" s="286">
        <v>45158.001701388886</v>
      </c>
      <c r="D32">
        <v>40797</v>
      </c>
      <c r="E32">
        <v>5020</v>
      </c>
      <c r="F32">
        <v>81</v>
      </c>
      <c r="G32">
        <v>79</v>
      </c>
      <c r="H32">
        <v>79</v>
      </c>
      <c r="I32">
        <v>80</v>
      </c>
      <c r="J32">
        <v>32</v>
      </c>
    </row>
    <row r="33" spans="1:10" x14ac:dyDescent="0.25">
      <c r="A33" t="s">
        <v>221</v>
      </c>
      <c r="B33" t="s">
        <v>219</v>
      </c>
      <c r="C33" s="286">
        <v>45158.002233796295</v>
      </c>
      <c r="D33">
        <v>5755</v>
      </c>
      <c r="E33">
        <v>4462</v>
      </c>
      <c r="F33">
        <v>81</v>
      </c>
      <c r="G33">
        <v>81</v>
      </c>
      <c r="H33">
        <v>77</v>
      </c>
      <c r="I33">
        <v>54</v>
      </c>
      <c r="J33">
        <v>33</v>
      </c>
    </row>
    <row r="34" spans="1:10" x14ac:dyDescent="0.25">
      <c r="A34" t="s">
        <v>167</v>
      </c>
      <c r="B34" t="s">
        <v>217</v>
      </c>
      <c r="C34" s="286">
        <v>45174.720532407409</v>
      </c>
      <c r="D34">
        <v>182578</v>
      </c>
      <c r="E34">
        <v>17622</v>
      </c>
      <c r="F34">
        <v>72</v>
      </c>
      <c r="G34">
        <v>77</v>
      </c>
      <c r="H34">
        <v>66</v>
      </c>
      <c r="I34">
        <v>17</v>
      </c>
      <c r="J34">
        <v>34</v>
      </c>
    </row>
    <row r="35" spans="1:10" x14ac:dyDescent="0.25">
      <c r="A35" t="s">
        <v>167</v>
      </c>
      <c r="B35" t="s">
        <v>340</v>
      </c>
      <c r="C35" s="286">
        <v>45135.376331018517</v>
      </c>
      <c r="D35">
        <v>0</v>
      </c>
      <c r="E35">
        <v>0</v>
      </c>
      <c r="F35">
        <v>98</v>
      </c>
      <c r="G35">
        <v>97</v>
      </c>
      <c r="H35">
        <v>97</v>
      </c>
      <c r="I35">
        <v>97</v>
      </c>
      <c r="J35">
        <v>35</v>
      </c>
    </row>
    <row r="36" spans="1:10" x14ac:dyDescent="0.25">
      <c r="A36" t="s">
        <v>185</v>
      </c>
      <c r="B36" t="s">
        <v>253</v>
      </c>
      <c r="C36" s="286">
        <v>45170.358252314814</v>
      </c>
      <c r="D36">
        <v>21796</v>
      </c>
      <c r="E36">
        <v>4527</v>
      </c>
      <c r="F36">
        <v>39</v>
      </c>
      <c r="G36">
        <v>42</v>
      </c>
      <c r="H36">
        <v>26</v>
      </c>
      <c r="I36">
        <v>30</v>
      </c>
      <c r="J36">
        <v>36</v>
      </c>
    </row>
    <row r="37" spans="1:10" x14ac:dyDescent="0.25">
      <c r="A37" t="s">
        <v>201</v>
      </c>
      <c r="B37" t="s">
        <v>197</v>
      </c>
      <c r="C37" s="286">
        <v>45170.001875000002</v>
      </c>
      <c r="D37">
        <v>56258</v>
      </c>
      <c r="E37">
        <v>3918</v>
      </c>
      <c r="F37">
        <v>83</v>
      </c>
      <c r="G37">
        <v>82</v>
      </c>
      <c r="H37">
        <v>79</v>
      </c>
      <c r="I37">
        <v>62</v>
      </c>
      <c r="J37">
        <v>37</v>
      </c>
    </row>
    <row r="38" spans="1:10" x14ac:dyDescent="0.25">
      <c r="A38" t="s">
        <v>344</v>
      </c>
      <c r="B38" t="s">
        <v>346</v>
      </c>
      <c r="C38" s="286">
        <v>45158.085219907407</v>
      </c>
      <c r="D38">
        <v>1044</v>
      </c>
      <c r="E38">
        <v>407</v>
      </c>
      <c r="F38">
        <v>95</v>
      </c>
      <c r="G38">
        <v>95</v>
      </c>
      <c r="H38">
        <v>96</v>
      </c>
      <c r="I38">
        <v>93</v>
      </c>
      <c r="J38">
        <v>38</v>
      </c>
    </row>
    <row r="39" spans="1:10" x14ac:dyDescent="0.25">
      <c r="A39" t="s">
        <v>289</v>
      </c>
      <c r="B39" t="s">
        <v>290</v>
      </c>
      <c r="C39" s="286">
        <v>45158.001701388886</v>
      </c>
      <c r="D39">
        <v>4540</v>
      </c>
      <c r="E39">
        <v>724</v>
      </c>
      <c r="F39">
        <v>95</v>
      </c>
      <c r="G39">
        <v>94</v>
      </c>
      <c r="H39">
        <v>95</v>
      </c>
      <c r="I39">
        <v>82</v>
      </c>
      <c r="J39">
        <v>39</v>
      </c>
    </row>
    <row r="40" spans="1:10" x14ac:dyDescent="0.25">
      <c r="A40" t="s">
        <v>169</v>
      </c>
      <c r="B40" t="s">
        <v>256</v>
      </c>
      <c r="C40" s="286">
        <v>45183.722592592596</v>
      </c>
      <c r="D40">
        <v>69447</v>
      </c>
      <c r="E40">
        <v>45063</v>
      </c>
      <c r="F40">
        <v>40</v>
      </c>
      <c r="G40">
        <v>48</v>
      </c>
      <c r="H40">
        <v>62</v>
      </c>
      <c r="I40">
        <v>24</v>
      </c>
      <c r="J40">
        <v>42</v>
      </c>
    </row>
    <row r="41" spans="1:10" x14ac:dyDescent="0.25">
      <c r="A41" t="s">
        <v>350</v>
      </c>
      <c r="B41" t="s">
        <v>286</v>
      </c>
      <c r="C41" s="286">
        <v>45158.043321759258</v>
      </c>
      <c r="D41">
        <v>6633</v>
      </c>
      <c r="E41">
        <v>1452</v>
      </c>
      <c r="F41">
        <v>91</v>
      </c>
      <c r="G41">
        <v>90</v>
      </c>
      <c r="H41">
        <v>90</v>
      </c>
      <c r="I41">
        <v>70</v>
      </c>
      <c r="J41">
        <v>43</v>
      </c>
    </row>
    <row r="42" spans="1:10" x14ac:dyDescent="0.25">
      <c r="A42" t="s">
        <v>282</v>
      </c>
      <c r="B42" t="s">
        <v>189</v>
      </c>
      <c r="C42" s="286">
        <v>45173.484201388892</v>
      </c>
      <c r="D42">
        <v>85821</v>
      </c>
      <c r="E42">
        <v>12834</v>
      </c>
      <c r="F42">
        <v>30</v>
      </c>
      <c r="G42">
        <v>19</v>
      </c>
      <c r="H42">
        <v>16</v>
      </c>
      <c r="I42">
        <v>70</v>
      </c>
      <c r="J42">
        <v>44</v>
      </c>
    </row>
    <row r="43" spans="1:10" x14ac:dyDescent="0.25">
      <c r="A43" t="s">
        <v>282</v>
      </c>
      <c r="B43" t="s">
        <v>190</v>
      </c>
      <c r="C43" s="286">
        <v>45182.674131944441</v>
      </c>
      <c r="D43">
        <v>50056</v>
      </c>
      <c r="E43">
        <v>8563</v>
      </c>
      <c r="F43">
        <v>70</v>
      </c>
      <c r="G43">
        <v>71</v>
      </c>
      <c r="H43">
        <v>68</v>
      </c>
      <c r="I43" s="287">
        <v>7</v>
      </c>
      <c r="J43">
        <v>45</v>
      </c>
    </row>
    <row r="44" spans="1:10" x14ac:dyDescent="0.25">
      <c r="A44" t="s">
        <v>170</v>
      </c>
      <c r="B44" t="s">
        <v>257</v>
      </c>
      <c r="C44" s="286">
        <v>45184.363715277781</v>
      </c>
      <c r="D44">
        <v>121941</v>
      </c>
      <c r="E44">
        <v>32248</v>
      </c>
      <c r="F44">
        <v>45</v>
      </c>
      <c r="G44">
        <v>51</v>
      </c>
      <c r="H44">
        <v>40</v>
      </c>
      <c r="I44">
        <v>69</v>
      </c>
      <c r="J44">
        <v>46</v>
      </c>
    </row>
    <row r="45" spans="1:10" x14ac:dyDescent="0.25">
      <c r="A45" t="s">
        <v>171</v>
      </c>
      <c r="B45" t="s">
        <v>258</v>
      </c>
      <c r="C45" s="286">
        <v>45158.001828703702</v>
      </c>
      <c r="D45">
        <v>69214</v>
      </c>
      <c r="E45">
        <v>33033</v>
      </c>
      <c r="F45">
        <v>11</v>
      </c>
      <c r="G45">
        <v>98</v>
      </c>
      <c r="H45" s="287">
        <v>7</v>
      </c>
      <c r="I45">
        <v>55</v>
      </c>
      <c r="J45">
        <v>47</v>
      </c>
    </row>
    <row r="46" spans="1:10" x14ac:dyDescent="0.25">
      <c r="A46" t="s">
        <v>171</v>
      </c>
      <c r="B46" t="s">
        <v>237</v>
      </c>
      <c r="C46" s="286">
        <v>45183.398680555554</v>
      </c>
      <c r="D46">
        <v>25127</v>
      </c>
      <c r="E46">
        <v>4124</v>
      </c>
      <c r="F46">
        <v>81</v>
      </c>
      <c r="G46">
        <v>81</v>
      </c>
      <c r="H46">
        <v>82</v>
      </c>
      <c r="I46">
        <v>100</v>
      </c>
      <c r="J46">
        <v>48</v>
      </c>
    </row>
    <row r="47" spans="1:10" x14ac:dyDescent="0.25">
      <c r="A47" t="s">
        <v>171</v>
      </c>
      <c r="B47" t="s">
        <v>260</v>
      </c>
      <c r="C47" s="286">
        <v>45158.601550925923</v>
      </c>
      <c r="D47">
        <v>17882</v>
      </c>
      <c r="E47">
        <v>11680</v>
      </c>
      <c r="F47">
        <v>48</v>
      </c>
      <c r="G47">
        <v>47</v>
      </c>
      <c r="H47">
        <v>40</v>
      </c>
      <c r="I47">
        <v>72</v>
      </c>
      <c r="J47">
        <v>49</v>
      </c>
    </row>
    <row r="48" spans="1:10" x14ac:dyDescent="0.25">
      <c r="A48" t="s">
        <v>171</v>
      </c>
      <c r="B48" t="s">
        <v>259</v>
      </c>
      <c r="C48" s="286">
        <v>45183.388460648152</v>
      </c>
      <c r="D48">
        <v>412379</v>
      </c>
      <c r="E48">
        <v>21997</v>
      </c>
      <c r="F48">
        <v>96</v>
      </c>
      <c r="G48">
        <v>93</v>
      </c>
      <c r="H48">
        <v>95</v>
      </c>
      <c r="I48">
        <v>69</v>
      </c>
      <c r="J48">
        <v>50</v>
      </c>
    </row>
    <row r="49" spans="1:10" x14ac:dyDescent="0.25">
      <c r="A49" t="s">
        <v>178</v>
      </c>
      <c r="B49" t="s">
        <v>262</v>
      </c>
      <c r="C49" s="286">
        <v>45170.043993055559</v>
      </c>
      <c r="D49">
        <v>183560</v>
      </c>
      <c r="E49">
        <v>21997</v>
      </c>
      <c r="F49">
        <v>96</v>
      </c>
      <c r="G49">
        <v>93</v>
      </c>
      <c r="H49">
        <v>95</v>
      </c>
      <c r="I49">
        <v>16</v>
      </c>
      <c r="J49">
        <v>51</v>
      </c>
    </row>
    <row r="50" spans="1:10" x14ac:dyDescent="0.25">
      <c r="A50" t="s">
        <v>172</v>
      </c>
      <c r="B50" t="s">
        <v>264</v>
      </c>
      <c r="C50" s="286">
        <v>45170.043773148151</v>
      </c>
      <c r="D50">
        <v>171304</v>
      </c>
      <c r="E50">
        <v>21997</v>
      </c>
      <c r="F50">
        <v>96</v>
      </c>
      <c r="G50">
        <v>93</v>
      </c>
      <c r="H50">
        <v>95</v>
      </c>
      <c r="I50" s="287">
        <v>6</v>
      </c>
      <c r="J50">
        <v>52</v>
      </c>
    </row>
    <row r="51" spans="1:10" x14ac:dyDescent="0.25">
      <c r="A51" t="s">
        <v>173</v>
      </c>
      <c r="B51" t="s">
        <v>265</v>
      </c>
      <c r="C51" s="286">
        <v>45182.731435185182</v>
      </c>
      <c r="D51">
        <v>41022</v>
      </c>
      <c r="E51">
        <v>6348</v>
      </c>
      <c r="F51">
        <v>15</v>
      </c>
      <c r="G51">
        <v>13</v>
      </c>
      <c r="H51" s="287">
        <v>5</v>
      </c>
      <c r="I51">
        <v>99</v>
      </c>
      <c r="J51">
        <v>53</v>
      </c>
    </row>
    <row r="52" spans="1:10" x14ac:dyDescent="0.25">
      <c r="A52" t="s">
        <v>174</v>
      </c>
      <c r="B52" t="s">
        <v>266</v>
      </c>
      <c r="C52" s="286">
        <v>45180.374259259261</v>
      </c>
      <c r="D52">
        <v>105165</v>
      </c>
      <c r="E52">
        <v>45032</v>
      </c>
      <c r="F52">
        <v>87</v>
      </c>
      <c r="G52">
        <v>32</v>
      </c>
      <c r="H52">
        <v>92</v>
      </c>
      <c r="I52">
        <v>64</v>
      </c>
      <c r="J52">
        <v>54</v>
      </c>
    </row>
    <row r="53" spans="1:10" x14ac:dyDescent="0.25">
      <c r="A53" t="s">
        <v>175</v>
      </c>
      <c r="B53" t="s">
        <v>143</v>
      </c>
      <c r="C53" s="286">
        <v>45169.996053240742</v>
      </c>
      <c r="D53">
        <v>202696</v>
      </c>
      <c r="E53">
        <v>33033</v>
      </c>
      <c r="F53">
        <v>11</v>
      </c>
      <c r="G53">
        <v>98</v>
      </c>
      <c r="H53" s="287">
        <v>7</v>
      </c>
      <c r="I53">
        <v>97</v>
      </c>
      <c r="J53">
        <v>55</v>
      </c>
    </row>
    <row r="54" spans="1:10" x14ac:dyDescent="0.25">
      <c r="A54" t="s">
        <v>175</v>
      </c>
      <c r="B54" t="s">
        <v>142</v>
      </c>
      <c r="C54" s="286">
        <v>45169.999027777776</v>
      </c>
      <c r="D54">
        <v>194717</v>
      </c>
      <c r="E54">
        <v>33033</v>
      </c>
      <c r="F54">
        <v>11</v>
      </c>
      <c r="G54">
        <v>98</v>
      </c>
      <c r="H54" s="287">
        <v>7</v>
      </c>
      <c r="I54">
        <v>60</v>
      </c>
      <c r="J54">
        <v>56</v>
      </c>
    </row>
    <row r="55" spans="1:10" x14ac:dyDescent="0.25">
      <c r="A55" t="s">
        <v>360</v>
      </c>
      <c r="B55" t="s">
        <v>284</v>
      </c>
      <c r="C55" s="286">
        <v>45097.04351851852</v>
      </c>
      <c r="D55">
        <v>11889</v>
      </c>
      <c r="E55">
        <v>15160</v>
      </c>
      <c r="F55">
        <v>28</v>
      </c>
      <c r="G55">
        <v>21</v>
      </c>
      <c r="H55">
        <v>30</v>
      </c>
      <c r="I55">
        <v>21</v>
      </c>
      <c r="J55">
        <v>60</v>
      </c>
    </row>
    <row r="56" spans="1:10" x14ac:dyDescent="0.25">
      <c r="A56" t="s">
        <v>288</v>
      </c>
      <c r="B56">
        <v>1382800465</v>
      </c>
      <c r="C56" s="286">
        <v>45184.407766203702</v>
      </c>
      <c r="D56">
        <v>241487</v>
      </c>
      <c r="E56">
        <v>33033</v>
      </c>
      <c r="F56">
        <v>11</v>
      </c>
      <c r="G56">
        <v>98</v>
      </c>
      <c r="H56" s="287">
        <v>7</v>
      </c>
      <c r="I56" s="287">
        <v>10</v>
      </c>
      <c r="J56" t="s">
        <v>42</v>
      </c>
    </row>
    <row r="57" spans="1:10" x14ac:dyDescent="0.25">
      <c r="A57" t="s">
        <v>378</v>
      </c>
      <c r="B57" t="s">
        <v>379</v>
      </c>
      <c r="C57" s="286">
        <v>45104.693530092591</v>
      </c>
      <c r="D57">
        <v>83528</v>
      </c>
      <c r="E57">
        <v>33033</v>
      </c>
      <c r="F57">
        <v>11</v>
      </c>
      <c r="G57">
        <v>98</v>
      </c>
      <c r="H57" s="287">
        <v>7</v>
      </c>
      <c r="I57">
        <v>41</v>
      </c>
      <c r="J57" t="s">
        <v>42</v>
      </c>
    </row>
    <row r="58" spans="1:10" x14ac:dyDescent="0.25">
      <c r="A58" t="s">
        <v>374</v>
      </c>
      <c r="B58" t="s">
        <v>375</v>
      </c>
      <c r="C58" s="286">
        <v>45103.28125</v>
      </c>
      <c r="D58">
        <v>238436</v>
      </c>
      <c r="E58">
        <v>40230</v>
      </c>
      <c r="F58">
        <v>30</v>
      </c>
      <c r="G58">
        <v>43</v>
      </c>
      <c r="H58">
        <v>14</v>
      </c>
      <c r="I58">
        <v>74</v>
      </c>
      <c r="J58" t="s">
        <v>42</v>
      </c>
    </row>
    <row r="59" spans="1:10" x14ac:dyDescent="0.25">
      <c r="A59" t="s">
        <v>380</v>
      </c>
      <c r="B59" t="s">
        <v>381</v>
      </c>
      <c r="C59" s="286">
        <v>45095.291724537034</v>
      </c>
      <c r="D59">
        <v>53099</v>
      </c>
      <c r="E59">
        <v>33033</v>
      </c>
      <c r="F59">
        <v>11</v>
      </c>
      <c r="G59">
        <v>98</v>
      </c>
      <c r="H59" s="287">
        <v>7</v>
      </c>
      <c r="I59">
        <v>72</v>
      </c>
      <c r="J59" t="s">
        <v>42</v>
      </c>
    </row>
    <row r="60" spans="1:10" x14ac:dyDescent="0.25">
      <c r="A60" t="s">
        <v>376</v>
      </c>
      <c r="B60" t="s">
        <v>377</v>
      </c>
      <c r="C60" s="286">
        <v>45078.317569444444</v>
      </c>
      <c r="D60">
        <v>40580</v>
      </c>
      <c r="E60">
        <v>22413</v>
      </c>
      <c r="F60">
        <v>61</v>
      </c>
      <c r="G60">
        <v>76</v>
      </c>
      <c r="H60">
        <v>30</v>
      </c>
      <c r="I60">
        <v>63</v>
      </c>
      <c r="J60" t="s">
        <v>42</v>
      </c>
    </row>
  </sheetData>
  <sortState xmlns:xlrd2="http://schemas.microsoft.com/office/spreadsheetml/2017/richdata2" ref="A2:J60">
    <sortCondition ref="J1:J60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BBB0D-7E7A-4D0D-9433-8E7295173F8F}">
  <sheetPr codeName="Foglio31"/>
  <dimension ref="A1:U60"/>
  <sheetViews>
    <sheetView workbookViewId="0">
      <selection activeCell="G11" sqref="G11"/>
    </sheetView>
  </sheetViews>
  <sheetFormatPr defaultRowHeight="15" x14ac:dyDescent="0.25"/>
  <cols>
    <col min="1" max="1" width="34" bestFit="1" customWidth="1"/>
    <col min="2" max="2" width="11.8554687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21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21" x14ac:dyDescent="0.25">
      <c r="L2" t="s">
        <v>152</v>
      </c>
      <c r="M2" t="s">
        <v>223</v>
      </c>
      <c r="N2" s="286">
        <v>45184.374259259261</v>
      </c>
      <c r="O2">
        <v>196710</v>
      </c>
      <c r="P2">
        <v>35239</v>
      </c>
      <c r="Q2" s="287">
        <v>5</v>
      </c>
      <c r="R2">
        <v>89</v>
      </c>
      <c r="S2">
        <v>69</v>
      </c>
      <c r="T2">
        <v>67</v>
      </c>
      <c r="U2">
        <v>2</v>
      </c>
    </row>
    <row r="3" spans="1:21" x14ac:dyDescent="0.25">
      <c r="L3" t="s">
        <v>184</v>
      </c>
      <c r="M3" t="s">
        <v>224</v>
      </c>
      <c r="N3" s="286">
        <v>45180.582499999997</v>
      </c>
      <c r="O3">
        <v>14685</v>
      </c>
      <c r="P3">
        <v>20253</v>
      </c>
      <c r="Q3" s="287">
        <v>5</v>
      </c>
      <c r="R3">
        <v>16</v>
      </c>
      <c r="S3">
        <v>12</v>
      </c>
      <c r="T3">
        <v>37</v>
      </c>
      <c r="U3">
        <v>3</v>
      </c>
    </row>
    <row r="4" spans="1:21" x14ac:dyDescent="0.25">
      <c r="L4" t="s">
        <v>205</v>
      </c>
      <c r="M4" t="s">
        <v>225</v>
      </c>
      <c r="N4" s="286">
        <v>45170.002060185187</v>
      </c>
      <c r="O4">
        <v>19547</v>
      </c>
      <c r="P4">
        <v>16093</v>
      </c>
      <c r="Q4">
        <v>52</v>
      </c>
      <c r="R4">
        <v>56</v>
      </c>
      <c r="S4">
        <v>53</v>
      </c>
      <c r="T4">
        <v>65</v>
      </c>
      <c r="U4">
        <v>4</v>
      </c>
    </row>
    <row r="5" spans="1:21" x14ac:dyDescent="0.25">
      <c r="L5" t="s">
        <v>154</v>
      </c>
      <c r="M5" t="s">
        <v>228</v>
      </c>
      <c r="N5" s="286">
        <v>45177.751932870371</v>
      </c>
      <c r="O5">
        <v>106567</v>
      </c>
      <c r="P5">
        <v>24869</v>
      </c>
      <c r="Q5">
        <v>49</v>
      </c>
      <c r="R5">
        <v>57</v>
      </c>
      <c r="S5">
        <v>29</v>
      </c>
      <c r="T5">
        <v>79</v>
      </c>
      <c r="U5">
        <v>5</v>
      </c>
    </row>
    <row r="6" spans="1:21" x14ac:dyDescent="0.25">
      <c r="L6" t="s">
        <v>155</v>
      </c>
      <c r="M6" t="s">
        <v>230</v>
      </c>
      <c r="N6" s="286">
        <v>45179.001736111109</v>
      </c>
      <c r="O6">
        <v>259766</v>
      </c>
      <c r="P6">
        <v>21997</v>
      </c>
      <c r="Q6">
        <v>96</v>
      </c>
      <c r="R6">
        <v>93</v>
      </c>
      <c r="S6">
        <v>95</v>
      </c>
      <c r="T6">
        <v>88</v>
      </c>
      <c r="U6">
        <v>6</v>
      </c>
    </row>
    <row r="7" spans="1:21" x14ac:dyDescent="0.25">
      <c r="L7" t="s">
        <v>156</v>
      </c>
      <c r="M7" t="s">
        <v>231</v>
      </c>
      <c r="N7" s="286">
        <v>45179.002314814818</v>
      </c>
      <c r="O7">
        <v>111219</v>
      </c>
      <c r="P7">
        <v>21997</v>
      </c>
      <c r="Q7">
        <v>96</v>
      </c>
      <c r="R7">
        <v>93</v>
      </c>
      <c r="S7">
        <v>95</v>
      </c>
      <c r="T7" s="287">
        <v>10</v>
      </c>
      <c r="U7">
        <v>7</v>
      </c>
    </row>
    <row r="8" spans="1:21" x14ac:dyDescent="0.25">
      <c r="L8" t="s">
        <v>153</v>
      </c>
      <c r="M8" t="s">
        <v>233</v>
      </c>
      <c r="N8" s="286">
        <v>45178.041967592595</v>
      </c>
      <c r="O8">
        <v>29934</v>
      </c>
      <c r="P8">
        <v>12834</v>
      </c>
      <c r="Q8">
        <v>30</v>
      </c>
      <c r="R8">
        <v>19</v>
      </c>
      <c r="S8">
        <v>16</v>
      </c>
      <c r="T8">
        <v>16</v>
      </c>
      <c r="U8">
        <v>8</v>
      </c>
    </row>
    <row r="9" spans="1:21" x14ac:dyDescent="0.25">
      <c r="L9" t="s">
        <v>157</v>
      </c>
      <c r="M9" t="s">
        <v>234</v>
      </c>
      <c r="N9" s="286">
        <v>45184.384837962964</v>
      </c>
      <c r="O9">
        <v>102367</v>
      </c>
      <c r="P9">
        <v>33033</v>
      </c>
      <c r="Q9">
        <v>11</v>
      </c>
      <c r="R9">
        <v>98</v>
      </c>
      <c r="S9" s="287">
        <v>7</v>
      </c>
      <c r="T9">
        <v>78</v>
      </c>
      <c r="U9">
        <v>9</v>
      </c>
    </row>
    <row r="10" spans="1:21" x14ac:dyDescent="0.25">
      <c r="L10" t="s">
        <v>158</v>
      </c>
      <c r="M10" t="s">
        <v>235</v>
      </c>
      <c r="N10" s="286">
        <v>45180.289421296293</v>
      </c>
      <c r="O10">
        <v>133729</v>
      </c>
      <c r="P10">
        <v>19300</v>
      </c>
      <c r="Q10" s="287">
        <v>5</v>
      </c>
      <c r="R10" s="287">
        <v>9</v>
      </c>
      <c r="S10" s="287">
        <v>8</v>
      </c>
      <c r="T10">
        <v>21</v>
      </c>
      <c r="U10">
        <v>10</v>
      </c>
    </row>
    <row r="11" spans="1:21" x14ac:dyDescent="0.25">
      <c r="L11" t="s">
        <v>176</v>
      </c>
      <c r="M11" t="s">
        <v>236</v>
      </c>
      <c r="N11" s="286">
        <v>45179.9608912037</v>
      </c>
      <c r="O11">
        <v>31685</v>
      </c>
      <c r="P11">
        <v>4749</v>
      </c>
      <c r="Q11">
        <v>68</v>
      </c>
      <c r="R11">
        <v>69</v>
      </c>
      <c r="S11">
        <v>64</v>
      </c>
      <c r="T11">
        <v>30</v>
      </c>
      <c r="U11">
        <v>11</v>
      </c>
    </row>
    <row r="12" spans="1:21" x14ac:dyDescent="0.25">
      <c r="L12" t="s">
        <v>203</v>
      </c>
      <c r="M12" t="s">
        <v>238</v>
      </c>
      <c r="N12" s="286">
        <v>45158.001863425925</v>
      </c>
      <c r="O12">
        <v>42820</v>
      </c>
      <c r="P12">
        <v>14846</v>
      </c>
      <c r="Q12">
        <v>38</v>
      </c>
      <c r="R12">
        <v>40</v>
      </c>
      <c r="S12">
        <v>35</v>
      </c>
      <c r="T12">
        <v>72</v>
      </c>
      <c r="U12">
        <v>12</v>
      </c>
    </row>
    <row r="13" spans="1:21" x14ac:dyDescent="0.25">
      <c r="L13" t="s">
        <v>204</v>
      </c>
      <c r="M13" t="s">
        <v>202</v>
      </c>
      <c r="N13" s="286">
        <v>45180.381712962961</v>
      </c>
      <c r="O13">
        <v>128881</v>
      </c>
      <c r="P13">
        <v>83552</v>
      </c>
      <c r="Q13">
        <v>59</v>
      </c>
      <c r="R13">
        <v>41</v>
      </c>
      <c r="S13" s="287">
        <v>5</v>
      </c>
      <c r="T13">
        <v>21</v>
      </c>
      <c r="U13">
        <v>13</v>
      </c>
    </row>
    <row r="14" spans="1:21" x14ac:dyDescent="0.25">
      <c r="L14" t="s">
        <v>294</v>
      </c>
      <c r="M14" t="s">
        <v>293</v>
      </c>
      <c r="N14" s="286">
        <v>45158.08556712963</v>
      </c>
      <c r="O14">
        <v>11872</v>
      </c>
      <c r="P14">
        <v>517</v>
      </c>
      <c r="Q14">
        <v>94</v>
      </c>
      <c r="R14">
        <v>93</v>
      </c>
      <c r="S14">
        <v>93</v>
      </c>
      <c r="T14">
        <v>57</v>
      </c>
      <c r="U14">
        <v>14</v>
      </c>
    </row>
    <row r="17" spans="1:10" x14ac:dyDescent="0.25">
      <c r="A17" t="s">
        <v>160</v>
      </c>
      <c r="B17" t="s">
        <v>240</v>
      </c>
      <c r="C17" s="286">
        <v>45181.375115740739</v>
      </c>
      <c r="D17">
        <v>30045</v>
      </c>
      <c r="E17">
        <v>18914</v>
      </c>
      <c r="F17">
        <v>100</v>
      </c>
      <c r="G17">
        <v>100</v>
      </c>
      <c r="H17">
        <v>100</v>
      </c>
      <c r="I17">
        <v>89</v>
      </c>
      <c r="J17">
        <v>15</v>
      </c>
    </row>
    <row r="18" spans="1:10" x14ac:dyDescent="0.25">
      <c r="A18" t="s">
        <v>161</v>
      </c>
      <c r="B18" t="s">
        <v>241</v>
      </c>
      <c r="C18" s="286">
        <v>45177.75267361111</v>
      </c>
      <c r="D18">
        <v>38793</v>
      </c>
      <c r="E18">
        <v>20891</v>
      </c>
      <c r="F18" s="287">
        <v>5</v>
      </c>
      <c r="G18" s="287">
        <v>10</v>
      </c>
      <c r="H18" s="287">
        <v>5</v>
      </c>
      <c r="I18">
        <v>59</v>
      </c>
      <c r="J18">
        <v>16</v>
      </c>
    </row>
    <row r="19" spans="1:10" x14ac:dyDescent="0.25">
      <c r="A19" t="s">
        <v>183</v>
      </c>
      <c r="B19" t="s">
        <v>242</v>
      </c>
      <c r="C19" s="286">
        <v>45161.687418981484</v>
      </c>
      <c r="D19">
        <v>52646</v>
      </c>
      <c r="E19">
        <v>33033</v>
      </c>
      <c r="F19">
        <v>11</v>
      </c>
      <c r="G19">
        <v>98</v>
      </c>
      <c r="H19" s="287">
        <v>7</v>
      </c>
      <c r="I19" s="287">
        <v>5</v>
      </c>
      <c r="J19">
        <v>17</v>
      </c>
    </row>
    <row r="20" spans="1:10" x14ac:dyDescent="0.25">
      <c r="A20" t="s">
        <v>162</v>
      </c>
      <c r="B20" t="s">
        <v>243</v>
      </c>
      <c r="C20" s="286">
        <v>45181.627337962964</v>
      </c>
      <c r="D20">
        <v>71511</v>
      </c>
      <c r="E20">
        <v>5782</v>
      </c>
      <c r="F20">
        <v>57</v>
      </c>
      <c r="G20">
        <v>58</v>
      </c>
      <c r="H20">
        <v>45</v>
      </c>
      <c r="I20">
        <v>79</v>
      </c>
      <c r="J20">
        <v>18</v>
      </c>
    </row>
    <row r="21" spans="1:10" x14ac:dyDescent="0.25">
      <c r="A21" t="s">
        <v>317</v>
      </c>
      <c r="B21" t="s">
        <v>318</v>
      </c>
      <c r="C21" s="286">
        <v>45158.085231481484</v>
      </c>
      <c r="D21">
        <v>3742</v>
      </c>
      <c r="E21">
        <v>424</v>
      </c>
      <c r="F21">
        <v>96</v>
      </c>
      <c r="G21">
        <v>94</v>
      </c>
      <c r="H21">
        <v>95</v>
      </c>
      <c r="I21">
        <v>83</v>
      </c>
      <c r="J21">
        <v>19</v>
      </c>
    </row>
    <row r="22" spans="1:10" x14ac:dyDescent="0.25">
      <c r="A22" t="s">
        <v>163</v>
      </c>
      <c r="B22" t="s">
        <v>244</v>
      </c>
      <c r="C22" s="286">
        <v>45180.348263888889</v>
      </c>
      <c r="D22">
        <v>44018</v>
      </c>
      <c r="E22">
        <v>35869</v>
      </c>
      <c r="F22">
        <v>87</v>
      </c>
      <c r="G22">
        <v>67</v>
      </c>
      <c r="H22">
        <v>72</v>
      </c>
      <c r="I22">
        <v>95</v>
      </c>
      <c r="J22">
        <v>20</v>
      </c>
    </row>
    <row r="23" spans="1:10" x14ac:dyDescent="0.25">
      <c r="A23" t="s">
        <v>164</v>
      </c>
      <c r="B23" t="s">
        <v>245</v>
      </c>
      <c r="C23" s="286">
        <v>45183.737303240741</v>
      </c>
      <c r="D23">
        <v>47829</v>
      </c>
      <c r="E23">
        <v>8657</v>
      </c>
      <c r="F23">
        <v>12</v>
      </c>
      <c r="G23">
        <v>22</v>
      </c>
      <c r="H23" s="287">
        <v>5</v>
      </c>
      <c r="I23" s="287">
        <v>6</v>
      </c>
      <c r="J23">
        <v>21</v>
      </c>
    </row>
    <row r="24" spans="1:10" x14ac:dyDescent="0.25">
      <c r="A24" t="s">
        <v>165</v>
      </c>
      <c r="B24" t="s">
        <v>246</v>
      </c>
      <c r="C24" s="286">
        <v>45170.043553240743</v>
      </c>
      <c r="D24">
        <v>74960</v>
      </c>
      <c r="E24">
        <v>35526</v>
      </c>
      <c r="F24">
        <v>16</v>
      </c>
      <c r="G24">
        <v>18</v>
      </c>
      <c r="H24">
        <v>18</v>
      </c>
      <c r="I24">
        <v>42</v>
      </c>
      <c r="J24">
        <v>22</v>
      </c>
    </row>
    <row r="25" spans="1:10" x14ac:dyDescent="0.25">
      <c r="A25" t="s">
        <v>177</v>
      </c>
      <c r="B25" t="s">
        <v>247</v>
      </c>
      <c r="C25" s="286">
        <v>45170.547511574077</v>
      </c>
      <c r="D25">
        <v>41979</v>
      </c>
      <c r="E25">
        <v>13231</v>
      </c>
      <c r="F25" s="287">
        <v>5</v>
      </c>
      <c r="G25">
        <v>91</v>
      </c>
      <c r="H25">
        <v>92</v>
      </c>
      <c r="I25">
        <v>36</v>
      </c>
      <c r="J25">
        <v>23</v>
      </c>
    </row>
    <row r="26" spans="1:10" x14ac:dyDescent="0.25">
      <c r="A26" t="s">
        <v>327</v>
      </c>
      <c r="B26" t="s">
        <v>329</v>
      </c>
      <c r="C26" s="286">
        <v>45158.085185185184</v>
      </c>
      <c r="D26">
        <v>19053</v>
      </c>
      <c r="E26">
        <v>5479</v>
      </c>
      <c r="F26">
        <v>29</v>
      </c>
      <c r="G26">
        <v>33</v>
      </c>
      <c r="H26">
        <v>34</v>
      </c>
      <c r="I26">
        <v>52</v>
      </c>
      <c r="J26">
        <v>25</v>
      </c>
    </row>
    <row r="27" spans="1:10" x14ac:dyDescent="0.25">
      <c r="A27" t="s">
        <v>209</v>
      </c>
      <c r="B27" t="s">
        <v>248</v>
      </c>
      <c r="C27" s="286">
        <v>45158.00240740741</v>
      </c>
      <c r="D27">
        <v>18831</v>
      </c>
      <c r="E27">
        <v>2207</v>
      </c>
      <c r="F27">
        <v>86</v>
      </c>
      <c r="G27">
        <v>85</v>
      </c>
      <c r="H27">
        <v>84</v>
      </c>
      <c r="I27">
        <v>13</v>
      </c>
      <c r="J27">
        <v>26</v>
      </c>
    </row>
    <row r="28" spans="1:10" x14ac:dyDescent="0.25">
      <c r="A28" t="s">
        <v>166</v>
      </c>
      <c r="B28" t="s">
        <v>249</v>
      </c>
      <c r="C28" s="286">
        <v>45181.690046296295</v>
      </c>
      <c r="D28">
        <v>46176</v>
      </c>
      <c r="E28">
        <v>49285</v>
      </c>
      <c r="F28">
        <v>19</v>
      </c>
      <c r="G28" s="287">
        <v>5</v>
      </c>
      <c r="H28" s="287">
        <v>5</v>
      </c>
      <c r="I28">
        <v>71</v>
      </c>
      <c r="J28">
        <v>27</v>
      </c>
    </row>
    <row r="29" spans="1:10" x14ac:dyDescent="0.25">
      <c r="A29" t="s">
        <v>159</v>
      </c>
      <c r="B29" t="s">
        <v>250</v>
      </c>
      <c r="C29" s="286">
        <v>45180.291145833333</v>
      </c>
      <c r="D29" t="s">
        <v>382</v>
      </c>
      <c r="E29">
        <v>8657</v>
      </c>
      <c r="F29">
        <v>12</v>
      </c>
      <c r="G29">
        <v>22</v>
      </c>
      <c r="H29" s="287">
        <v>5</v>
      </c>
      <c r="I29" t="s">
        <v>382</v>
      </c>
      <c r="J29">
        <v>28</v>
      </c>
    </row>
    <row r="30" spans="1:10" x14ac:dyDescent="0.25">
      <c r="A30" t="s">
        <v>168</v>
      </c>
      <c r="B30" t="s">
        <v>252</v>
      </c>
      <c r="C30" s="286">
        <v>45170.045428240737</v>
      </c>
      <c r="D30">
        <v>123085</v>
      </c>
      <c r="E30">
        <v>88134</v>
      </c>
      <c r="F30">
        <v>35</v>
      </c>
      <c r="G30">
        <v>48</v>
      </c>
      <c r="H30">
        <v>32</v>
      </c>
      <c r="I30">
        <v>23</v>
      </c>
      <c r="J30">
        <v>30</v>
      </c>
    </row>
    <row r="31" spans="1:10" x14ac:dyDescent="0.25">
      <c r="A31" t="s">
        <v>193</v>
      </c>
      <c r="B31" t="s">
        <v>195</v>
      </c>
      <c r="C31" s="286">
        <v>45170.084745370368</v>
      </c>
      <c r="D31">
        <v>16081</v>
      </c>
      <c r="E31">
        <v>9796</v>
      </c>
      <c r="F31">
        <v>64</v>
      </c>
      <c r="G31">
        <v>61</v>
      </c>
      <c r="H31">
        <v>57</v>
      </c>
      <c r="I31">
        <v>89</v>
      </c>
      <c r="J31">
        <v>31</v>
      </c>
    </row>
    <row r="32" spans="1:10" x14ac:dyDescent="0.25">
      <c r="A32" t="s">
        <v>251</v>
      </c>
      <c r="B32" t="s">
        <v>214</v>
      </c>
      <c r="C32" s="286">
        <v>45158.001701388886</v>
      </c>
      <c r="D32">
        <v>40797</v>
      </c>
      <c r="E32">
        <v>5020</v>
      </c>
      <c r="F32">
        <v>81</v>
      </c>
      <c r="G32">
        <v>79</v>
      </c>
      <c r="H32">
        <v>79</v>
      </c>
      <c r="I32">
        <v>80</v>
      </c>
      <c r="J32">
        <v>32</v>
      </c>
    </row>
    <row r="33" spans="1:10" x14ac:dyDescent="0.25">
      <c r="A33" t="s">
        <v>221</v>
      </c>
      <c r="B33" t="s">
        <v>219</v>
      </c>
      <c r="C33" s="286">
        <v>45158.002233796295</v>
      </c>
      <c r="D33">
        <v>5755</v>
      </c>
      <c r="E33">
        <v>4462</v>
      </c>
      <c r="F33">
        <v>81</v>
      </c>
      <c r="G33">
        <v>81</v>
      </c>
      <c r="H33">
        <v>77</v>
      </c>
      <c r="I33">
        <v>54</v>
      </c>
      <c r="J33">
        <v>33</v>
      </c>
    </row>
    <row r="34" spans="1:10" x14ac:dyDescent="0.25">
      <c r="A34" t="s">
        <v>167</v>
      </c>
      <c r="B34" t="s">
        <v>217</v>
      </c>
      <c r="C34" s="286">
        <v>45174.720532407409</v>
      </c>
      <c r="D34">
        <v>182578</v>
      </c>
      <c r="E34">
        <v>17622</v>
      </c>
      <c r="F34">
        <v>72</v>
      </c>
      <c r="G34">
        <v>77</v>
      </c>
      <c r="H34">
        <v>66</v>
      </c>
      <c r="I34">
        <v>17</v>
      </c>
      <c r="J34">
        <v>34</v>
      </c>
    </row>
    <row r="35" spans="1:10" x14ac:dyDescent="0.25">
      <c r="A35" t="s">
        <v>167</v>
      </c>
      <c r="B35" t="s">
        <v>340</v>
      </c>
      <c r="C35" s="286">
        <v>45135.376331018517</v>
      </c>
      <c r="D35">
        <v>0</v>
      </c>
      <c r="E35">
        <v>0</v>
      </c>
      <c r="F35">
        <v>98</v>
      </c>
      <c r="G35">
        <v>97</v>
      </c>
      <c r="H35">
        <v>97</v>
      </c>
      <c r="I35">
        <v>97</v>
      </c>
      <c r="J35">
        <v>35</v>
      </c>
    </row>
    <row r="36" spans="1:10" x14ac:dyDescent="0.25">
      <c r="A36" t="s">
        <v>185</v>
      </c>
      <c r="B36" t="s">
        <v>253</v>
      </c>
      <c r="C36" s="286">
        <v>45170.358252314814</v>
      </c>
      <c r="D36">
        <v>21796</v>
      </c>
      <c r="E36">
        <v>4527</v>
      </c>
      <c r="F36">
        <v>39</v>
      </c>
      <c r="G36">
        <v>42</v>
      </c>
      <c r="H36">
        <v>26</v>
      </c>
      <c r="I36">
        <v>30</v>
      </c>
      <c r="J36">
        <v>36</v>
      </c>
    </row>
    <row r="37" spans="1:10" x14ac:dyDescent="0.25">
      <c r="A37" t="s">
        <v>201</v>
      </c>
      <c r="B37" t="s">
        <v>197</v>
      </c>
      <c r="C37" s="286">
        <v>45170.001875000002</v>
      </c>
      <c r="D37">
        <v>56258</v>
      </c>
      <c r="E37">
        <v>3918</v>
      </c>
      <c r="F37">
        <v>83</v>
      </c>
      <c r="G37">
        <v>82</v>
      </c>
      <c r="H37">
        <v>79</v>
      </c>
      <c r="I37">
        <v>62</v>
      </c>
      <c r="J37">
        <v>37</v>
      </c>
    </row>
    <row r="38" spans="1:10" x14ac:dyDescent="0.25">
      <c r="A38" t="s">
        <v>344</v>
      </c>
      <c r="B38" t="s">
        <v>346</v>
      </c>
      <c r="C38" s="286">
        <v>45158.085219907407</v>
      </c>
      <c r="D38">
        <v>1044</v>
      </c>
      <c r="E38">
        <v>407</v>
      </c>
      <c r="F38">
        <v>95</v>
      </c>
      <c r="G38">
        <v>95</v>
      </c>
      <c r="H38">
        <v>96</v>
      </c>
      <c r="I38">
        <v>93</v>
      </c>
      <c r="J38">
        <v>38</v>
      </c>
    </row>
    <row r="39" spans="1:10" x14ac:dyDescent="0.25">
      <c r="A39" t="s">
        <v>289</v>
      </c>
      <c r="B39" t="s">
        <v>290</v>
      </c>
      <c r="C39" s="286">
        <v>45158.001701388886</v>
      </c>
      <c r="D39">
        <v>4540</v>
      </c>
      <c r="E39">
        <v>724</v>
      </c>
      <c r="F39">
        <v>95</v>
      </c>
      <c r="G39">
        <v>94</v>
      </c>
      <c r="H39">
        <v>95</v>
      </c>
      <c r="I39">
        <v>82</v>
      </c>
      <c r="J39">
        <v>39</v>
      </c>
    </row>
    <row r="40" spans="1:10" x14ac:dyDescent="0.25">
      <c r="A40" t="s">
        <v>169</v>
      </c>
      <c r="B40" t="s">
        <v>256</v>
      </c>
      <c r="C40" s="286">
        <v>45183.722592592596</v>
      </c>
      <c r="D40">
        <v>69447</v>
      </c>
      <c r="E40">
        <v>45063</v>
      </c>
      <c r="F40">
        <v>40</v>
      </c>
      <c r="G40">
        <v>48</v>
      </c>
      <c r="H40">
        <v>62</v>
      </c>
      <c r="I40">
        <v>24</v>
      </c>
      <c r="J40">
        <v>42</v>
      </c>
    </row>
    <row r="41" spans="1:10" x14ac:dyDescent="0.25">
      <c r="A41" t="s">
        <v>350</v>
      </c>
      <c r="B41" t="s">
        <v>286</v>
      </c>
      <c r="C41" s="286">
        <v>45158.043321759258</v>
      </c>
      <c r="D41">
        <v>6633</v>
      </c>
      <c r="E41">
        <v>1452</v>
      </c>
      <c r="F41">
        <v>91</v>
      </c>
      <c r="G41">
        <v>90</v>
      </c>
      <c r="H41">
        <v>90</v>
      </c>
      <c r="I41">
        <v>70</v>
      </c>
      <c r="J41">
        <v>43</v>
      </c>
    </row>
    <row r="42" spans="1:10" x14ac:dyDescent="0.25">
      <c r="A42" t="s">
        <v>282</v>
      </c>
      <c r="B42" t="s">
        <v>189</v>
      </c>
      <c r="C42" s="286">
        <v>45173.484201388892</v>
      </c>
      <c r="D42">
        <v>85821</v>
      </c>
      <c r="E42">
        <v>12834</v>
      </c>
      <c r="F42">
        <v>30</v>
      </c>
      <c r="G42">
        <v>19</v>
      </c>
      <c r="H42">
        <v>16</v>
      </c>
      <c r="I42">
        <v>70</v>
      </c>
      <c r="J42">
        <v>44</v>
      </c>
    </row>
    <row r="43" spans="1:10" x14ac:dyDescent="0.25">
      <c r="A43" t="s">
        <v>282</v>
      </c>
      <c r="B43" t="s">
        <v>190</v>
      </c>
      <c r="C43" s="286">
        <v>45182.674131944441</v>
      </c>
      <c r="D43">
        <v>50056</v>
      </c>
      <c r="E43">
        <v>8563</v>
      </c>
      <c r="F43">
        <v>70</v>
      </c>
      <c r="G43">
        <v>71</v>
      </c>
      <c r="H43">
        <v>68</v>
      </c>
      <c r="I43" s="287">
        <v>7</v>
      </c>
      <c r="J43">
        <v>45</v>
      </c>
    </row>
    <row r="44" spans="1:10" x14ac:dyDescent="0.25">
      <c r="A44" t="s">
        <v>170</v>
      </c>
      <c r="B44" t="s">
        <v>257</v>
      </c>
      <c r="C44" s="286">
        <v>45184.363715277781</v>
      </c>
      <c r="D44">
        <v>121941</v>
      </c>
      <c r="E44">
        <v>32248</v>
      </c>
      <c r="F44">
        <v>45</v>
      </c>
      <c r="G44">
        <v>51</v>
      </c>
      <c r="H44">
        <v>40</v>
      </c>
      <c r="I44">
        <v>69</v>
      </c>
      <c r="J44">
        <v>46</v>
      </c>
    </row>
    <row r="45" spans="1:10" x14ac:dyDescent="0.25">
      <c r="A45" t="s">
        <v>171</v>
      </c>
      <c r="B45" t="s">
        <v>258</v>
      </c>
      <c r="C45" s="286">
        <v>45158.001828703702</v>
      </c>
      <c r="D45">
        <v>69214</v>
      </c>
      <c r="E45">
        <v>33033</v>
      </c>
      <c r="F45">
        <v>11</v>
      </c>
      <c r="G45">
        <v>98</v>
      </c>
      <c r="H45" s="287">
        <v>7</v>
      </c>
      <c r="I45">
        <v>55</v>
      </c>
      <c r="J45">
        <v>47</v>
      </c>
    </row>
    <row r="46" spans="1:10" x14ac:dyDescent="0.25">
      <c r="A46" t="s">
        <v>171</v>
      </c>
      <c r="B46" t="s">
        <v>237</v>
      </c>
      <c r="C46" s="286">
        <v>45183.398680555554</v>
      </c>
      <c r="D46">
        <v>25127</v>
      </c>
      <c r="E46">
        <v>4124</v>
      </c>
      <c r="F46">
        <v>81</v>
      </c>
      <c r="G46">
        <v>81</v>
      </c>
      <c r="H46">
        <v>82</v>
      </c>
      <c r="I46">
        <v>100</v>
      </c>
      <c r="J46">
        <v>48</v>
      </c>
    </row>
    <row r="47" spans="1:10" x14ac:dyDescent="0.25">
      <c r="A47" t="s">
        <v>171</v>
      </c>
      <c r="B47" t="s">
        <v>260</v>
      </c>
      <c r="C47" s="286">
        <v>45158.601550925923</v>
      </c>
      <c r="D47">
        <v>17882</v>
      </c>
      <c r="E47">
        <v>11680</v>
      </c>
      <c r="F47">
        <v>48</v>
      </c>
      <c r="G47">
        <v>47</v>
      </c>
      <c r="H47">
        <v>40</v>
      </c>
      <c r="I47">
        <v>72</v>
      </c>
      <c r="J47">
        <v>49</v>
      </c>
    </row>
    <row r="48" spans="1:10" x14ac:dyDescent="0.25">
      <c r="A48" t="s">
        <v>171</v>
      </c>
      <c r="B48" t="s">
        <v>259</v>
      </c>
      <c r="C48" s="286">
        <v>45183.388460648152</v>
      </c>
      <c r="D48">
        <v>412379</v>
      </c>
      <c r="E48">
        <v>21997</v>
      </c>
      <c r="F48">
        <v>96</v>
      </c>
      <c r="G48">
        <v>93</v>
      </c>
      <c r="H48">
        <v>95</v>
      </c>
      <c r="I48">
        <v>69</v>
      </c>
      <c r="J48">
        <v>50</v>
      </c>
    </row>
    <row r="49" spans="1:10" x14ac:dyDescent="0.25">
      <c r="A49" t="s">
        <v>178</v>
      </c>
      <c r="B49" t="s">
        <v>262</v>
      </c>
      <c r="C49" s="286">
        <v>45170.043993055559</v>
      </c>
      <c r="D49">
        <v>183560</v>
      </c>
      <c r="E49">
        <v>21997</v>
      </c>
      <c r="F49">
        <v>96</v>
      </c>
      <c r="G49">
        <v>93</v>
      </c>
      <c r="H49">
        <v>95</v>
      </c>
      <c r="I49">
        <v>16</v>
      </c>
      <c r="J49">
        <v>51</v>
      </c>
    </row>
    <row r="50" spans="1:10" x14ac:dyDescent="0.25">
      <c r="A50" t="s">
        <v>172</v>
      </c>
      <c r="B50" t="s">
        <v>264</v>
      </c>
      <c r="C50" s="286">
        <v>45170.043773148151</v>
      </c>
      <c r="D50">
        <v>171304</v>
      </c>
      <c r="E50">
        <v>21997</v>
      </c>
      <c r="F50">
        <v>96</v>
      </c>
      <c r="G50">
        <v>93</v>
      </c>
      <c r="H50">
        <v>95</v>
      </c>
      <c r="I50" s="287">
        <v>6</v>
      </c>
      <c r="J50">
        <v>52</v>
      </c>
    </row>
    <row r="51" spans="1:10" x14ac:dyDescent="0.25">
      <c r="A51" t="s">
        <v>173</v>
      </c>
      <c r="B51" t="s">
        <v>265</v>
      </c>
      <c r="C51" s="286">
        <v>45182.731435185182</v>
      </c>
      <c r="D51">
        <v>41022</v>
      </c>
      <c r="E51">
        <v>6348</v>
      </c>
      <c r="F51">
        <v>15</v>
      </c>
      <c r="G51">
        <v>13</v>
      </c>
      <c r="H51" s="287">
        <v>5</v>
      </c>
      <c r="I51">
        <v>99</v>
      </c>
      <c r="J51">
        <v>53</v>
      </c>
    </row>
    <row r="52" spans="1:10" x14ac:dyDescent="0.25">
      <c r="A52" t="s">
        <v>174</v>
      </c>
      <c r="B52" t="s">
        <v>266</v>
      </c>
      <c r="C52" s="286">
        <v>45180.374259259261</v>
      </c>
      <c r="D52">
        <v>105165</v>
      </c>
      <c r="E52">
        <v>45032</v>
      </c>
      <c r="F52">
        <v>87</v>
      </c>
      <c r="G52">
        <v>32</v>
      </c>
      <c r="H52">
        <v>92</v>
      </c>
      <c r="I52">
        <v>64</v>
      </c>
      <c r="J52">
        <v>54</v>
      </c>
    </row>
    <row r="53" spans="1:10" x14ac:dyDescent="0.25">
      <c r="A53" t="s">
        <v>175</v>
      </c>
      <c r="B53" t="s">
        <v>143</v>
      </c>
      <c r="C53" s="286">
        <v>45169.996053240742</v>
      </c>
      <c r="D53">
        <v>202696</v>
      </c>
      <c r="E53">
        <v>33033</v>
      </c>
      <c r="F53">
        <v>11</v>
      </c>
      <c r="G53">
        <v>98</v>
      </c>
      <c r="H53" s="287">
        <v>7</v>
      </c>
      <c r="I53">
        <v>97</v>
      </c>
      <c r="J53">
        <v>55</v>
      </c>
    </row>
    <row r="54" spans="1:10" x14ac:dyDescent="0.25">
      <c r="A54" t="s">
        <v>175</v>
      </c>
      <c r="B54" t="s">
        <v>142</v>
      </c>
      <c r="C54" s="286">
        <v>45169.999027777776</v>
      </c>
      <c r="D54">
        <v>194717</v>
      </c>
      <c r="E54">
        <v>33033</v>
      </c>
      <c r="F54">
        <v>11</v>
      </c>
      <c r="G54">
        <v>98</v>
      </c>
      <c r="H54" s="287">
        <v>7</v>
      </c>
      <c r="I54">
        <v>60</v>
      </c>
      <c r="J54">
        <v>56</v>
      </c>
    </row>
    <row r="55" spans="1:10" x14ac:dyDescent="0.25">
      <c r="A55" t="s">
        <v>360</v>
      </c>
      <c r="B55" t="s">
        <v>284</v>
      </c>
      <c r="C55" s="286">
        <v>45097.04351851852</v>
      </c>
      <c r="D55">
        <v>11889</v>
      </c>
      <c r="E55">
        <v>15160</v>
      </c>
      <c r="F55">
        <v>28</v>
      </c>
      <c r="G55">
        <v>21</v>
      </c>
      <c r="H55">
        <v>30</v>
      </c>
      <c r="I55">
        <v>21</v>
      </c>
      <c r="J55">
        <v>60</v>
      </c>
    </row>
    <row r="56" spans="1:10" x14ac:dyDescent="0.25">
      <c r="A56" t="s">
        <v>288</v>
      </c>
      <c r="B56">
        <v>1382800465</v>
      </c>
      <c r="C56" s="286">
        <v>45184.407766203702</v>
      </c>
      <c r="D56">
        <v>241487</v>
      </c>
      <c r="E56">
        <v>33033</v>
      </c>
      <c r="F56">
        <v>11</v>
      </c>
      <c r="G56">
        <v>98</v>
      </c>
      <c r="H56" s="287">
        <v>7</v>
      </c>
      <c r="I56" s="287">
        <v>10</v>
      </c>
      <c r="J56" t="s">
        <v>42</v>
      </c>
    </row>
    <row r="57" spans="1:10" x14ac:dyDescent="0.25">
      <c r="A57" t="s">
        <v>378</v>
      </c>
      <c r="B57" t="s">
        <v>379</v>
      </c>
      <c r="C57" s="286">
        <v>45104.693530092591</v>
      </c>
      <c r="D57">
        <v>83528</v>
      </c>
      <c r="E57">
        <v>33033</v>
      </c>
      <c r="F57">
        <v>11</v>
      </c>
      <c r="G57">
        <v>98</v>
      </c>
      <c r="H57" s="287">
        <v>7</v>
      </c>
      <c r="I57">
        <v>41</v>
      </c>
      <c r="J57" t="s">
        <v>42</v>
      </c>
    </row>
    <row r="58" spans="1:10" x14ac:dyDescent="0.25">
      <c r="A58" t="s">
        <v>374</v>
      </c>
      <c r="B58" t="s">
        <v>375</v>
      </c>
      <c r="C58" s="286">
        <v>45103.28125</v>
      </c>
      <c r="D58">
        <v>238436</v>
      </c>
      <c r="E58">
        <v>40230</v>
      </c>
      <c r="F58">
        <v>30</v>
      </c>
      <c r="G58">
        <v>43</v>
      </c>
      <c r="H58">
        <v>14</v>
      </c>
      <c r="I58">
        <v>74</v>
      </c>
      <c r="J58" t="s">
        <v>42</v>
      </c>
    </row>
    <row r="59" spans="1:10" x14ac:dyDescent="0.25">
      <c r="A59" t="s">
        <v>380</v>
      </c>
      <c r="B59" t="s">
        <v>381</v>
      </c>
      <c r="C59" s="286">
        <v>45095.291724537034</v>
      </c>
      <c r="D59">
        <v>53099</v>
      </c>
      <c r="E59">
        <v>33033</v>
      </c>
      <c r="F59">
        <v>11</v>
      </c>
      <c r="G59">
        <v>98</v>
      </c>
      <c r="H59" s="287">
        <v>7</v>
      </c>
      <c r="I59">
        <v>72</v>
      </c>
      <c r="J59" t="s">
        <v>42</v>
      </c>
    </row>
    <row r="60" spans="1:10" x14ac:dyDescent="0.25">
      <c r="A60" t="s">
        <v>376</v>
      </c>
      <c r="B60" t="s">
        <v>377</v>
      </c>
      <c r="C60" s="286">
        <v>45078.317569444444</v>
      </c>
      <c r="D60">
        <v>40580</v>
      </c>
      <c r="E60">
        <v>22413</v>
      </c>
      <c r="F60">
        <v>61</v>
      </c>
      <c r="G60">
        <v>76</v>
      </c>
      <c r="H60">
        <v>30</v>
      </c>
      <c r="I60">
        <v>63</v>
      </c>
      <c r="J60" t="s">
        <v>42</v>
      </c>
    </row>
  </sheetData>
  <sortState xmlns:xlrd2="http://schemas.microsoft.com/office/spreadsheetml/2017/richdata2" ref="A2:J60">
    <sortCondition ref="J1:J60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8451E-7325-4F7C-963B-0662192AC9EA}">
  <sheetPr codeName="Foglio30"/>
  <dimension ref="A1:V60"/>
  <sheetViews>
    <sheetView topLeftCell="F1" workbookViewId="0">
      <selection activeCell="K8" sqref="K8"/>
    </sheetView>
  </sheetViews>
  <sheetFormatPr defaultRowHeight="15" x14ac:dyDescent="0.25"/>
  <cols>
    <col min="1" max="1" width="34" bestFit="1" customWidth="1"/>
    <col min="2" max="2" width="11.8554687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22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22" x14ac:dyDescent="0.25">
      <c r="C2" s="286">
        <v>45184.374259259261</v>
      </c>
      <c r="D2" t="s">
        <v>152</v>
      </c>
      <c r="E2" t="s">
        <v>223</v>
      </c>
      <c r="F2" s="287">
        <v>5</v>
      </c>
      <c r="G2">
        <v>89</v>
      </c>
      <c r="H2">
        <v>69</v>
      </c>
      <c r="I2">
        <v>67</v>
      </c>
      <c r="J2">
        <v>2</v>
      </c>
    </row>
    <row r="3" spans="1:22" x14ac:dyDescent="0.25">
      <c r="M3" t="s">
        <v>184</v>
      </c>
      <c r="N3" t="s">
        <v>224</v>
      </c>
      <c r="O3" s="286">
        <v>45180.582499999997</v>
      </c>
      <c r="P3">
        <v>14685</v>
      </c>
      <c r="Q3">
        <v>20253</v>
      </c>
      <c r="R3" s="287">
        <v>5</v>
      </c>
      <c r="S3">
        <v>16</v>
      </c>
      <c r="T3">
        <v>12</v>
      </c>
      <c r="U3">
        <v>37</v>
      </c>
      <c r="V3">
        <v>3</v>
      </c>
    </row>
    <row r="4" spans="1:22" x14ac:dyDescent="0.25">
      <c r="A4" t="s">
        <v>205</v>
      </c>
      <c r="B4" t="s">
        <v>225</v>
      </c>
      <c r="C4" s="286">
        <v>45170.002060185187</v>
      </c>
      <c r="D4">
        <v>19547</v>
      </c>
      <c r="E4">
        <v>16093</v>
      </c>
      <c r="F4">
        <v>52</v>
      </c>
      <c r="G4">
        <v>56</v>
      </c>
      <c r="H4">
        <v>53</v>
      </c>
      <c r="I4">
        <v>65</v>
      </c>
      <c r="J4">
        <v>4</v>
      </c>
    </row>
    <row r="5" spans="1:22" x14ac:dyDescent="0.25">
      <c r="A5" t="s">
        <v>154</v>
      </c>
      <c r="B5" t="s">
        <v>228</v>
      </c>
      <c r="C5" s="286">
        <v>45177.751932870371</v>
      </c>
      <c r="D5">
        <v>106567</v>
      </c>
      <c r="E5">
        <v>24869</v>
      </c>
      <c r="F5">
        <v>49</v>
      </c>
      <c r="G5">
        <v>57</v>
      </c>
      <c r="H5">
        <v>29</v>
      </c>
      <c r="I5">
        <v>79</v>
      </c>
      <c r="J5">
        <v>5</v>
      </c>
    </row>
    <row r="6" spans="1:22" x14ac:dyDescent="0.25">
      <c r="A6" t="s">
        <v>155</v>
      </c>
      <c r="B6" t="s">
        <v>230</v>
      </c>
      <c r="C6" s="286">
        <v>45179.001736111109</v>
      </c>
      <c r="D6">
        <v>259766</v>
      </c>
      <c r="E6">
        <v>21997</v>
      </c>
      <c r="F6">
        <v>96</v>
      </c>
      <c r="G6">
        <v>93</v>
      </c>
      <c r="H6">
        <v>95</v>
      </c>
      <c r="I6">
        <v>88</v>
      </c>
      <c r="J6">
        <v>6</v>
      </c>
    </row>
    <row r="7" spans="1:22" x14ac:dyDescent="0.25">
      <c r="A7" t="s">
        <v>156</v>
      </c>
      <c r="B7" t="s">
        <v>231</v>
      </c>
      <c r="C7" s="286">
        <v>45179.002314814818</v>
      </c>
      <c r="D7">
        <v>111219</v>
      </c>
      <c r="E7">
        <v>21997</v>
      </c>
      <c r="F7">
        <v>96</v>
      </c>
      <c r="G7">
        <v>93</v>
      </c>
      <c r="H7">
        <v>95</v>
      </c>
      <c r="I7" s="287">
        <v>10</v>
      </c>
      <c r="J7">
        <v>7</v>
      </c>
    </row>
    <row r="8" spans="1:22" x14ac:dyDescent="0.25">
      <c r="A8" t="s">
        <v>153</v>
      </c>
      <c r="B8" t="s">
        <v>233</v>
      </c>
      <c r="C8" s="286">
        <v>45178.041967592595</v>
      </c>
      <c r="D8">
        <v>29934</v>
      </c>
      <c r="E8">
        <v>12834</v>
      </c>
      <c r="F8">
        <v>30</v>
      </c>
      <c r="G8">
        <v>19</v>
      </c>
      <c r="H8">
        <v>16</v>
      </c>
      <c r="I8">
        <v>16</v>
      </c>
      <c r="J8">
        <v>8</v>
      </c>
    </row>
    <row r="9" spans="1:22" x14ac:dyDescent="0.25">
      <c r="A9" t="s">
        <v>157</v>
      </c>
      <c r="B9" t="s">
        <v>234</v>
      </c>
      <c r="C9" s="286">
        <v>45184.384837962964</v>
      </c>
      <c r="D9">
        <v>102367</v>
      </c>
      <c r="E9">
        <v>33033</v>
      </c>
      <c r="F9">
        <v>11</v>
      </c>
      <c r="G9">
        <v>98</v>
      </c>
      <c r="H9" s="287">
        <v>7</v>
      </c>
      <c r="I9">
        <v>78</v>
      </c>
      <c r="J9">
        <v>9</v>
      </c>
    </row>
    <row r="10" spans="1:22" x14ac:dyDescent="0.25">
      <c r="A10" t="s">
        <v>383</v>
      </c>
      <c r="B10" t="s">
        <v>235</v>
      </c>
      <c r="C10" s="286">
        <v>45187.814629629633</v>
      </c>
      <c r="D10" t="s">
        <v>382</v>
      </c>
      <c r="E10">
        <v>19285</v>
      </c>
      <c r="F10" s="287">
        <v>5</v>
      </c>
      <c r="G10" s="287">
        <v>10</v>
      </c>
      <c r="H10" s="287">
        <v>9</v>
      </c>
      <c r="I10" t="s">
        <v>382</v>
      </c>
      <c r="J10">
        <v>10</v>
      </c>
    </row>
    <row r="11" spans="1:22" x14ac:dyDescent="0.25">
      <c r="A11" t="s">
        <v>384</v>
      </c>
      <c r="B11" t="s">
        <v>235</v>
      </c>
      <c r="C11" s="286">
        <v>45183.855104166665</v>
      </c>
      <c r="D11" t="s">
        <v>382</v>
      </c>
      <c r="E11">
        <v>19285</v>
      </c>
      <c r="F11" s="287">
        <v>5</v>
      </c>
      <c r="G11" s="287">
        <v>10</v>
      </c>
      <c r="H11" s="287">
        <v>9</v>
      </c>
      <c r="I11" t="s">
        <v>382</v>
      </c>
      <c r="J11">
        <v>10</v>
      </c>
    </row>
    <row r="12" spans="1:22" x14ac:dyDescent="0.25">
      <c r="A12" t="s">
        <v>158</v>
      </c>
      <c r="B12" t="s">
        <v>235</v>
      </c>
      <c r="C12" s="286">
        <v>45180.289421296293</v>
      </c>
      <c r="D12">
        <v>133729</v>
      </c>
      <c r="E12">
        <v>19300</v>
      </c>
      <c r="F12" s="287">
        <v>5</v>
      </c>
      <c r="G12" s="287">
        <v>9</v>
      </c>
      <c r="H12" s="287">
        <v>8</v>
      </c>
      <c r="I12">
        <v>21</v>
      </c>
      <c r="J12">
        <v>10</v>
      </c>
    </row>
    <row r="13" spans="1:22" x14ac:dyDescent="0.25">
      <c r="A13" t="s">
        <v>176</v>
      </c>
      <c r="B13" t="s">
        <v>236</v>
      </c>
      <c r="C13" s="286">
        <v>45179.9608912037</v>
      </c>
      <c r="D13">
        <v>31685</v>
      </c>
      <c r="E13">
        <v>4749</v>
      </c>
      <c r="F13">
        <v>68</v>
      </c>
      <c r="G13">
        <v>69</v>
      </c>
      <c r="H13">
        <v>64</v>
      </c>
      <c r="I13">
        <v>30</v>
      </c>
      <c r="J13">
        <v>11</v>
      </c>
    </row>
    <row r="14" spans="1:22" x14ac:dyDescent="0.25">
      <c r="A14" t="s">
        <v>203</v>
      </c>
      <c r="B14" t="s">
        <v>238</v>
      </c>
      <c r="C14" s="286">
        <v>45158.001863425925</v>
      </c>
      <c r="D14">
        <v>42820</v>
      </c>
      <c r="E14">
        <v>14846</v>
      </c>
      <c r="F14">
        <v>38</v>
      </c>
      <c r="G14">
        <v>40</v>
      </c>
      <c r="H14">
        <v>35</v>
      </c>
      <c r="I14">
        <v>72</v>
      </c>
      <c r="J14">
        <v>12</v>
      </c>
    </row>
    <row r="15" spans="1:22" x14ac:dyDescent="0.25">
      <c r="A15" t="s">
        <v>204</v>
      </c>
      <c r="B15" t="s">
        <v>202</v>
      </c>
      <c r="C15" s="286">
        <v>45180.381712962961</v>
      </c>
      <c r="D15">
        <v>128881</v>
      </c>
      <c r="E15">
        <v>83552</v>
      </c>
      <c r="F15">
        <v>59</v>
      </c>
      <c r="G15">
        <v>41</v>
      </c>
      <c r="H15" s="287">
        <v>5</v>
      </c>
      <c r="I15">
        <v>21</v>
      </c>
      <c r="J15">
        <v>13</v>
      </c>
    </row>
    <row r="16" spans="1:22" x14ac:dyDescent="0.25">
      <c r="A16" t="s">
        <v>294</v>
      </c>
      <c r="B16" t="s">
        <v>293</v>
      </c>
      <c r="C16" s="286">
        <v>45158.08556712963</v>
      </c>
      <c r="D16">
        <v>11872</v>
      </c>
      <c r="E16">
        <v>517</v>
      </c>
      <c r="F16">
        <v>94</v>
      </c>
      <c r="G16">
        <v>93</v>
      </c>
      <c r="H16">
        <v>93</v>
      </c>
      <c r="I16">
        <v>57</v>
      </c>
      <c r="J16">
        <v>14</v>
      </c>
    </row>
    <row r="17" spans="1:10" x14ac:dyDescent="0.25">
      <c r="A17" t="s">
        <v>160</v>
      </c>
      <c r="B17" t="s">
        <v>240</v>
      </c>
      <c r="C17" s="286">
        <v>45181.375115740739</v>
      </c>
      <c r="D17">
        <v>30045</v>
      </c>
      <c r="E17">
        <v>18914</v>
      </c>
      <c r="F17">
        <v>100</v>
      </c>
      <c r="G17">
        <v>100</v>
      </c>
      <c r="H17">
        <v>100</v>
      </c>
      <c r="I17">
        <v>89</v>
      </c>
      <c r="J17">
        <v>15</v>
      </c>
    </row>
    <row r="18" spans="1:10" x14ac:dyDescent="0.25">
      <c r="A18" t="s">
        <v>161</v>
      </c>
      <c r="B18" t="s">
        <v>241</v>
      </c>
      <c r="C18" s="286">
        <v>45177.75267361111</v>
      </c>
      <c r="D18">
        <v>38793</v>
      </c>
      <c r="E18">
        <v>20891</v>
      </c>
      <c r="F18" s="287">
        <v>5</v>
      </c>
      <c r="G18" s="287">
        <v>10</v>
      </c>
      <c r="H18" s="287">
        <v>5</v>
      </c>
      <c r="I18">
        <v>59</v>
      </c>
      <c r="J18">
        <v>16</v>
      </c>
    </row>
    <row r="19" spans="1:10" x14ac:dyDescent="0.25">
      <c r="A19" t="s">
        <v>183</v>
      </c>
      <c r="B19" t="s">
        <v>242</v>
      </c>
      <c r="C19" s="286">
        <v>45161.687418981484</v>
      </c>
      <c r="D19">
        <v>52646</v>
      </c>
      <c r="E19">
        <v>33033</v>
      </c>
      <c r="F19">
        <v>11</v>
      </c>
      <c r="G19">
        <v>98</v>
      </c>
      <c r="H19" s="287">
        <v>7</v>
      </c>
      <c r="I19" s="287">
        <v>5</v>
      </c>
      <c r="J19">
        <v>17</v>
      </c>
    </row>
    <row r="20" spans="1:10" x14ac:dyDescent="0.25">
      <c r="A20" t="s">
        <v>162</v>
      </c>
      <c r="B20" t="s">
        <v>243</v>
      </c>
      <c r="C20" s="286">
        <v>45181.627337962964</v>
      </c>
      <c r="D20">
        <v>71511</v>
      </c>
      <c r="E20">
        <v>5782</v>
      </c>
      <c r="F20">
        <v>57</v>
      </c>
      <c r="G20">
        <v>58</v>
      </c>
      <c r="H20">
        <v>45</v>
      </c>
      <c r="I20">
        <v>79</v>
      </c>
      <c r="J20">
        <v>18</v>
      </c>
    </row>
    <row r="21" spans="1:10" x14ac:dyDescent="0.25">
      <c r="A21" t="s">
        <v>317</v>
      </c>
      <c r="B21" t="s">
        <v>318</v>
      </c>
      <c r="C21" s="286">
        <v>45158.085231481484</v>
      </c>
      <c r="D21">
        <v>3742</v>
      </c>
      <c r="E21">
        <v>424</v>
      </c>
      <c r="F21">
        <v>96</v>
      </c>
      <c r="G21">
        <v>94</v>
      </c>
      <c r="H21">
        <v>95</v>
      </c>
      <c r="I21">
        <v>83</v>
      </c>
      <c r="J21">
        <v>19</v>
      </c>
    </row>
    <row r="22" spans="1:10" x14ac:dyDescent="0.25">
      <c r="A22" t="s">
        <v>163</v>
      </c>
      <c r="B22" t="s">
        <v>244</v>
      </c>
      <c r="C22" s="286">
        <v>45180.348263888889</v>
      </c>
      <c r="D22">
        <v>44018</v>
      </c>
      <c r="E22">
        <v>35869</v>
      </c>
      <c r="F22">
        <v>87</v>
      </c>
      <c r="G22">
        <v>67</v>
      </c>
      <c r="H22">
        <v>72</v>
      </c>
      <c r="I22">
        <v>95</v>
      </c>
      <c r="J22">
        <v>20</v>
      </c>
    </row>
    <row r="23" spans="1:10" x14ac:dyDescent="0.25">
      <c r="A23" t="s">
        <v>164</v>
      </c>
      <c r="B23" t="s">
        <v>245</v>
      </c>
      <c r="C23" s="286">
        <v>45183.737303240741</v>
      </c>
      <c r="D23">
        <v>47829</v>
      </c>
      <c r="E23">
        <v>8657</v>
      </c>
      <c r="F23">
        <v>12</v>
      </c>
      <c r="G23">
        <v>22</v>
      </c>
      <c r="H23" s="287">
        <v>5</v>
      </c>
      <c r="I23" s="287">
        <v>6</v>
      </c>
      <c r="J23">
        <v>21</v>
      </c>
    </row>
    <row r="24" spans="1:10" x14ac:dyDescent="0.25">
      <c r="A24" t="s">
        <v>165</v>
      </c>
      <c r="B24" t="s">
        <v>246</v>
      </c>
      <c r="C24" s="286">
        <v>45170.043553240743</v>
      </c>
      <c r="D24">
        <v>74960</v>
      </c>
      <c r="E24">
        <v>35526</v>
      </c>
      <c r="F24">
        <v>16</v>
      </c>
      <c r="G24">
        <v>18</v>
      </c>
      <c r="H24">
        <v>18</v>
      </c>
      <c r="I24">
        <v>42</v>
      </c>
      <c r="J24">
        <v>22</v>
      </c>
    </row>
    <row r="25" spans="1:10" x14ac:dyDescent="0.25">
      <c r="A25" t="s">
        <v>177</v>
      </c>
      <c r="B25" t="s">
        <v>247</v>
      </c>
      <c r="C25" s="286">
        <v>45170.547511574077</v>
      </c>
      <c r="D25">
        <v>41979</v>
      </c>
      <c r="E25">
        <v>13231</v>
      </c>
      <c r="F25" s="287">
        <v>5</v>
      </c>
      <c r="G25">
        <v>91</v>
      </c>
      <c r="H25">
        <v>92</v>
      </c>
      <c r="I25">
        <v>36</v>
      </c>
      <c r="J25">
        <v>23</v>
      </c>
    </row>
    <row r="26" spans="1:10" x14ac:dyDescent="0.25">
      <c r="A26" t="s">
        <v>327</v>
      </c>
      <c r="B26" t="s">
        <v>329</v>
      </c>
      <c r="C26" s="286">
        <v>45158.085185185184</v>
      </c>
      <c r="D26">
        <v>19053</v>
      </c>
      <c r="E26">
        <v>5479</v>
      </c>
      <c r="F26">
        <v>29</v>
      </c>
      <c r="G26">
        <v>33</v>
      </c>
      <c r="H26">
        <v>34</v>
      </c>
      <c r="I26">
        <v>52</v>
      </c>
      <c r="J26">
        <v>25</v>
      </c>
    </row>
    <row r="27" spans="1:10" x14ac:dyDescent="0.25">
      <c r="A27" t="s">
        <v>209</v>
      </c>
      <c r="B27" t="s">
        <v>248</v>
      </c>
      <c r="C27" s="286">
        <v>45158.00240740741</v>
      </c>
      <c r="D27">
        <v>18831</v>
      </c>
      <c r="E27">
        <v>2207</v>
      </c>
      <c r="F27">
        <v>86</v>
      </c>
      <c r="G27">
        <v>85</v>
      </c>
      <c r="H27">
        <v>84</v>
      </c>
      <c r="I27">
        <v>13</v>
      </c>
      <c r="J27">
        <v>26</v>
      </c>
    </row>
    <row r="28" spans="1:10" x14ac:dyDescent="0.25">
      <c r="A28" t="s">
        <v>166</v>
      </c>
      <c r="B28" t="s">
        <v>249</v>
      </c>
      <c r="C28" s="286">
        <v>45181.690046296295</v>
      </c>
      <c r="D28">
        <v>46176</v>
      </c>
      <c r="E28">
        <v>49285</v>
      </c>
      <c r="F28">
        <v>19</v>
      </c>
      <c r="G28" s="287">
        <v>5</v>
      </c>
      <c r="H28" s="287">
        <v>5</v>
      </c>
      <c r="I28">
        <v>71</v>
      </c>
      <c r="J28">
        <v>27</v>
      </c>
    </row>
    <row r="29" spans="1:10" x14ac:dyDescent="0.25">
      <c r="A29" t="s">
        <v>159</v>
      </c>
      <c r="B29" t="s">
        <v>250</v>
      </c>
      <c r="C29" s="286">
        <v>45180.291145833333</v>
      </c>
      <c r="D29" t="s">
        <v>382</v>
      </c>
      <c r="E29">
        <v>8657</v>
      </c>
      <c r="F29">
        <v>12</v>
      </c>
      <c r="G29">
        <v>22</v>
      </c>
      <c r="H29" s="287">
        <v>5</v>
      </c>
      <c r="I29" t="s">
        <v>382</v>
      </c>
      <c r="J29">
        <v>28</v>
      </c>
    </row>
    <row r="30" spans="1:10" x14ac:dyDescent="0.25">
      <c r="A30" t="s">
        <v>168</v>
      </c>
      <c r="B30" t="s">
        <v>252</v>
      </c>
      <c r="C30" s="286">
        <v>45170.045428240737</v>
      </c>
      <c r="D30">
        <v>123085</v>
      </c>
      <c r="E30">
        <v>88134</v>
      </c>
      <c r="F30">
        <v>35</v>
      </c>
      <c r="G30">
        <v>48</v>
      </c>
      <c r="H30">
        <v>32</v>
      </c>
      <c r="I30">
        <v>23</v>
      </c>
      <c r="J30">
        <v>30</v>
      </c>
    </row>
    <row r="31" spans="1:10" x14ac:dyDescent="0.25">
      <c r="A31" t="s">
        <v>193</v>
      </c>
      <c r="B31" t="s">
        <v>195</v>
      </c>
      <c r="C31" s="286">
        <v>45170.084745370368</v>
      </c>
      <c r="D31">
        <v>16081</v>
      </c>
      <c r="E31">
        <v>9796</v>
      </c>
      <c r="F31">
        <v>64</v>
      </c>
      <c r="G31">
        <v>61</v>
      </c>
      <c r="H31">
        <v>57</v>
      </c>
      <c r="I31">
        <v>89</v>
      </c>
      <c r="J31">
        <v>31</v>
      </c>
    </row>
    <row r="32" spans="1:10" x14ac:dyDescent="0.25">
      <c r="A32" t="s">
        <v>251</v>
      </c>
      <c r="B32" t="s">
        <v>214</v>
      </c>
      <c r="C32" s="286">
        <v>45158.001701388886</v>
      </c>
      <c r="D32">
        <v>40797</v>
      </c>
      <c r="E32">
        <v>5020</v>
      </c>
      <c r="F32">
        <v>81</v>
      </c>
      <c r="G32">
        <v>79</v>
      </c>
      <c r="H32">
        <v>79</v>
      </c>
      <c r="I32">
        <v>80</v>
      </c>
      <c r="J32">
        <v>32</v>
      </c>
    </row>
    <row r="33" spans="1:10" x14ac:dyDescent="0.25">
      <c r="A33" t="s">
        <v>221</v>
      </c>
      <c r="B33" t="s">
        <v>219</v>
      </c>
      <c r="C33" s="286">
        <v>45158.002233796295</v>
      </c>
      <c r="D33">
        <v>5755</v>
      </c>
      <c r="E33">
        <v>4462</v>
      </c>
      <c r="F33">
        <v>81</v>
      </c>
      <c r="G33">
        <v>81</v>
      </c>
      <c r="H33">
        <v>77</v>
      </c>
      <c r="I33">
        <v>54</v>
      </c>
      <c r="J33">
        <v>33</v>
      </c>
    </row>
    <row r="34" spans="1:10" x14ac:dyDescent="0.25">
      <c r="A34" t="s">
        <v>167</v>
      </c>
      <c r="B34" t="s">
        <v>217</v>
      </c>
      <c r="C34" s="286">
        <v>45174.720532407409</v>
      </c>
      <c r="D34">
        <v>182578</v>
      </c>
      <c r="E34">
        <v>17622</v>
      </c>
      <c r="F34">
        <v>72</v>
      </c>
      <c r="G34">
        <v>77</v>
      </c>
      <c r="H34">
        <v>66</v>
      </c>
      <c r="I34">
        <v>17</v>
      </c>
      <c r="J34">
        <v>34</v>
      </c>
    </row>
    <row r="35" spans="1:10" x14ac:dyDescent="0.25">
      <c r="A35" t="s">
        <v>167</v>
      </c>
      <c r="B35" t="s">
        <v>340</v>
      </c>
      <c r="C35" s="286">
        <v>45135.376331018517</v>
      </c>
      <c r="D35">
        <v>0</v>
      </c>
      <c r="E35">
        <v>0</v>
      </c>
      <c r="F35">
        <v>98</v>
      </c>
      <c r="G35">
        <v>97</v>
      </c>
      <c r="H35">
        <v>97</v>
      </c>
      <c r="I35">
        <v>97</v>
      </c>
      <c r="J35">
        <v>35</v>
      </c>
    </row>
    <row r="36" spans="1:10" x14ac:dyDescent="0.25">
      <c r="A36" t="s">
        <v>185</v>
      </c>
      <c r="B36" t="s">
        <v>253</v>
      </c>
      <c r="C36" s="286">
        <v>45170.358252314814</v>
      </c>
      <c r="D36">
        <v>21796</v>
      </c>
      <c r="E36">
        <v>4527</v>
      </c>
      <c r="F36">
        <v>39</v>
      </c>
      <c r="G36">
        <v>42</v>
      </c>
      <c r="H36">
        <v>26</v>
      </c>
      <c r="I36">
        <v>30</v>
      </c>
      <c r="J36">
        <v>36</v>
      </c>
    </row>
    <row r="37" spans="1:10" x14ac:dyDescent="0.25">
      <c r="A37" t="s">
        <v>201</v>
      </c>
      <c r="B37" t="s">
        <v>197</v>
      </c>
      <c r="C37" s="286">
        <v>45170.001875000002</v>
      </c>
      <c r="D37">
        <v>56258</v>
      </c>
      <c r="E37">
        <v>3918</v>
      </c>
      <c r="F37">
        <v>83</v>
      </c>
      <c r="G37">
        <v>82</v>
      </c>
      <c r="H37">
        <v>79</v>
      </c>
      <c r="I37">
        <v>62</v>
      </c>
      <c r="J37">
        <v>37</v>
      </c>
    </row>
    <row r="38" spans="1:10" x14ac:dyDescent="0.25">
      <c r="A38" t="s">
        <v>344</v>
      </c>
      <c r="B38" t="s">
        <v>346</v>
      </c>
      <c r="C38" s="286">
        <v>45158.085219907407</v>
      </c>
      <c r="D38">
        <v>1044</v>
      </c>
      <c r="E38">
        <v>407</v>
      </c>
      <c r="F38">
        <v>95</v>
      </c>
      <c r="G38">
        <v>95</v>
      </c>
      <c r="H38">
        <v>96</v>
      </c>
      <c r="I38">
        <v>93</v>
      </c>
      <c r="J38">
        <v>38</v>
      </c>
    </row>
    <row r="39" spans="1:10" x14ac:dyDescent="0.25">
      <c r="A39" t="s">
        <v>289</v>
      </c>
      <c r="B39" t="s">
        <v>290</v>
      </c>
      <c r="C39" s="286">
        <v>45158.001701388886</v>
      </c>
      <c r="D39">
        <v>4540</v>
      </c>
      <c r="E39">
        <v>724</v>
      </c>
      <c r="F39">
        <v>95</v>
      </c>
      <c r="G39">
        <v>94</v>
      </c>
      <c r="H39">
        <v>95</v>
      </c>
      <c r="I39">
        <v>82</v>
      </c>
      <c r="J39">
        <v>39</v>
      </c>
    </row>
    <row r="40" spans="1:10" x14ac:dyDescent="0.25">
      <c r="A40" t="s">
        <v>169</v>
      </c>
      <c r="B40" t="s">
        <v>256</v>
      </c>
      <c r="C40" s="286">
        <v>45183.722592592596</v>
      </c>
      <c r="D40">
        <v>69447</v>
      </c>
      <c r="E40">
        <v>45063</v>
      </c>
      <c r="F40">
        <v>40</v>
      </c>
      <c r="G40">
        <v>48</v>
      </c>
      <c r="H40">
        <v>62</v>
      </c>
      <c r="I40">
        <v>24</v>
      </c>
      <c r="J40">
        <v>42</v>
      </c>
    </row>
    <row r="41" spans="1:10" x14ac:dyDescent="0.25">
      <c r="A41" t="s">
        <v>350</v>
      </c>
      <c r="B41" t="s">
        <v>286</v>
      </c>
      <c r="C41" s="286">
        <v>45158.043321759258</v>
      </c>
      <c r="D41">
        <v>6633</v>
      </c>
      <c r="E41">
        <v>1452</v>
      </c>
      <c r="F41">
        <v>91</v>
      </c>
      <c r="G41">
        <v>90</v>
      </c>
      <c r="H41">
        <v>90</v>
      </c>
      <c r="I41">
        <v>70</v>
      </c>
      <c r="J41">
        <v>43</v>
      </c>
    </row>
    <row r="42" spans="1:10" x14ac:dyDescent="0.25">
      <c r="A42" t="s">
        <v>282</v>
      </c>
      <c r="B42" t="s">
        <v>189</v>
      </c>
      <c r="C42" s="286">
        <v>45173.484201388892</v>
      </c>
      <c r="D42">
        <v>85821</v>
      </c>
      <c r="E42">
        <v>12834</v>
      </c>
      <c r="F42">
        <v>30</v>
      </c>
      <c r="G42">
        <v>19</v>
      </c>
      <c r="H42">
        <v>16</v>
      </c>
      <c r="I42">
        <v>70</v>
      </c>
      <c r="J42">
        <v>44</v>
      </c>
    </row>
    <row r="43" spans="1:10" x14ac:dyDescent="0.25">
      <c r="A43" t="s">
        <v>282</v>
      </c>
      <c r="B43" t="s">
        <v>190</v>
      </c>
      <c r="C43" s="286">
        <v>45182.674131944441</v>
      </c>
      <c r="D43">
        <v>50056</v>
      </c>
      <c r="E43">
        <v>8563</v>
      </c>
      <c r="F43">
        <v>70</v>
      </c>
      <c r="G43">
        <v>71</v>
      </c>
      <c r="H43">
        <v>68</v>
      </c>
      <c r="I43" s="287">
        <v>7</v>
      </c>
      <c r="J43">
        <v>45</v>
      </c>
    </row>
    <row r="44" spans="1:10" x14ac:dyDescent="0.25">
      <c r="A44" t="s">
        <v>170</v>
      </c>
      <c r="B44" t="s">
        <v>257</v>
      </c>
      <c r="C44" s="286">
        <v>45184.363715277781</v>
      </c>
      <c r="D44">
        <v>121941</v>
      </c>
      <c r="E44">
        <v>32248</v>
      </c>
      <c r="F44">
        <v>45</v>
      </c>
      <c r="G44">
        <v>51</v>
      </c>
      <c r="H44">
        <v>40</v>
      </c>
      <c r="I44">
        <v>69</v>
      </c>
      <c r="J44">
        <v>46</v>
      </c>
    </row>
    <row r="45" spans="1:10" x14ac:dyDescent="0.25">
      <c r="A45" t="s">
        <v>171</v>
      </c>
      <c r="B45" t="s">
        <v>258</v>
      </c>
      <c r="C45" s="286">
        <v>45158.001828703702</v>
      </c>
      <c r="D45">
        <v>69214</v>
      </c>
      <c r="E45">
        <v>33033</v>
      </c>
      <c r="F45">
        <v>11</v>
      </c>
      <c r="G45">
        <v>98</v>
      </c>
      <c r="H45" s="287">
        <v>7</v>
      </c>
      <c r="I45">
        <v>55</v>
      </c>
      <c r="J45">
        <v>47</v>
      </c>
    </row>
    <row r="46" spans="1:10" x14ac:dyDescent="0.25">
      <c r="A46" t="s">
        <v>171</v>
      </c>
      <c r="B46" t="s">
        <v>237</v>
      </c>
      <c r="C46" s="286">
        <v>45183.398680555554</v>
      </c>
      <c r="D46">
        <v>25127</v>
      </c>
      <c r="E46">
        <v>4124</v>
      </c>
      <c r="F46">
        <v>81</v>
      </c>
      <c r="G46">
        <v>81</v>
      </c>
      <c r="H46">
        <v>82</v>
      </c>
      <c r="I46">
        <v>100</v>
      </c>
      <c r="J46">
        <v>48</v>
      </c>
    </row>
    <row r="47" spans="1:10" x14ac:dyDescent="0.25">
      <c r="A47" t="s">
        <v>171</v>
      </c>
      <c r="B47" t="s">
        <v>260</v>
      </c>
      <c r="C47" s="286">
        <v>45158.601550925923</v>
      </c>
      <c r="D47">
        <v>17882</v>
      </c>
      <c r="E47">
        <v>11680</v>
      </c>
      <c r="F47">
        <v>48</v>
      </c>
      <c r="G47">
        <v>47</v>
      </c>
      <c r="H47">
        <v>40</v>
      </c>
      <c r="I47">
        <v>72</v>
      </c>
      <c r="J47">
        <v>49</v>
      </c>
    </row>
    <row r="48" spans="1:10" x14ac:dyDescent="0.25">
      <c r="A48" t="s">
        <v>171</v>
      </c>
      <c r="B48" t="s">
        <v>259</v>
      </c>
      <c r="C48" s="286">
        <v>45183.388460648152</v>
      </c>
      <c r="D48">
        <v>412379</v>
      </c>
      <c r="E48">
        <v>21997</v>
      </c>
      <c r="F48">
        <v>96</v>
      </c>
      <c r="G48">
        <v>93</v>
      </c>
      <c r="H48">
        <v>95</v>
      </c>
      <c r="I48">
        <v>69</v>
      </c>
      <c r="J48">
        <v>50</v>
      </c>
    </row>
    <row r="49" spans="1:10" x14ac:dyDescent="0.25">
      <c r="A49" t="s">
        <v>178</v>
      </c>
      <c r="B49" t="s">
        <v>262</v>
      </c>
      <c r="C49" s="286">
        <v>45170.043993055559</v>
      </c>
      <c r="D49">
        <v>183560</v>
      </c>
      <c r="E49">
        <v>21997</v>
      </c>
      <c r="F49">
        <v>96</v>
      </c>
      <c r="G49">
        <v>93</v>
      </c>
      <c r="H49">
        <v>95</v>
      </c>
      <c r="I49">
        <v>16</v>
      </c>
      <c r="J49">
        <v>51</v>
      </c>
    </row>
    <row r="50" spans="1:10" x14ac:dyDescent="0.25">
      <c r="A50" t="s">
        <v>172</v>
      </c>
      <c r="B50" t="s">
        <v>264</v>
      </c>
      <c r="C50" s="286">
        <v>45170.043773148151</v>
      </c>
      <c r="D50">
        <v>171304</v>
      </c>
      <c r="E50">
        <v>21997</v>
      </c>
      <c r="F50">
        <v>96</v>
      </c>
      <c r="G50">
        <v>93</v>
      </c>
      <c r="H50">
        <v>95</v>
      </c>
      <c r="I50" s="287">
        <v>6</v>
      </c>
      <c r="J50">
        <v>52</v>
      </c>
    </row>
    <row r="51" spans="1:10" x14ac:dyDescent="0.25">
      <c r="A51" t="s">
        <v>173</v>
      </c>
      <c r="B51" t="s">
        <v>265</v>
      </c>
      <c r="C51" s="286">
        <v>45182.731435185182</v>
      </c>
      <c r="D51">
        <v>41022</v>
      </c>
      <c r="E51">
        <v>6348</v>
      </c>
      <c r="F51">
        <v>15</v>
      </c>
      <c r="G51">
        <v>13</v>
      </c>
      <c r="H51" s="287">
        <v>5</v>
      </c>
      <c r="I51">
        <v>99</v>
      </c>
      <c r="J51">
        <v>53</v>
      </c>
    </row>
    <row r="52" spans="1:10" x14ac:dyDescent="0.25">
      <c r="A52" t="s">
        <v>174</v>
      </c>
      <c r="B52" t="s">
        <v>266</v>
      </c>
      <c r="C52" s="286">
        <v>45180.374259259261</v>
      </c>
      <c r="D52">
        <v>105165</v>
      </c>
      <c r="E52">
        <v>45032</v>
      </c>
      <c r="F52">
        <v>87</v>
      </c>
      <c r="G52">
        <v>32</v>
      </c>
      <c r="H52">
        <v>92</v>
      </c>
      <c r="I52">
        <v>64</v>
      </c>
      <c r="J52">
        <v>54</v>
      </c>
    </row>
    <row r="53" spans="1:10" x14ac:dyDescent="0.25">
      <c r="A53" t="s">
        <v>175</v>
      </c>
      <c r="B53" t="s">
        <v>143</v>
      </c>
      <c r="C53" s="286">
        <v>45169.996053240742</v>
      </c>
      <c r="D53">
        <v>202696</v>
      </c>
      <c r="E53">
        <v>33033</v>
      </c>
      <c r="F53">
        <v>11</v>
      </c>
      <c r="G53">
        <v>98</v>
      </c>
      <c r="H53" s="287">
        <v>7</v>
      </c>
      <c r="I53">
        <v>97</v>
      </c>
      <c r="J53">
        <v>55</v>
      </c>
    </row>
    <row r="54" spans="1:10" x14ac:dyDescent="0.25">
      <c r="A54" t="s">
        <v>175</v>
      </c>
      <c r="B54" t="s">
        <v>142</v>
      </c>
      <c r="C54" s="286">
        <v>45169.999027777776</v>
      </c>
      <c r="D54">
        <v>194717</v>
      </c>
      <c r="E54">
        <v>33033</v>
      </c>
      <c r="F54">
        <v>11</v>
      </c>
      <c r="G54">
        <v>98</v>
      </c>
      <c r="H54" s="287">
        <v>7</v>
      </c>
      <c r="I54">
        <v>60</v>
      </c>
      <c r="J54">
        <v>56</v>
      </c>
    </row>
    <row r="55" spans="1:10" x14ac:dyDescent="0.25">
      <c r="A55" t="s">
        <v>360</v>
      </c>
      <c r="B55" t="s">
        <v>284</v>
      </c>
      <c r="C55" s="286">
        <v>45097.04351851852</v>
      </c>
      <c r="D55">
        <v>11889</v>
      </c>
      <c r="E55">
        <v>15160</v>
      </c>
      <c r="F55">
        <v>28</v>
      </c>
      <c r="G55">
        <v>21</v>
      </c>
      <c r="H55">
        <v>30</v>
      </c>
      <c r="I55">
        <v>21</v>
      </c>
      <c r="J55">
        <v>60</v>
      </c>
    </row>
    <row r="56" spans="1:10" x14ac:dyDescent="0.25">
      <c r="A56" t="s">
        <v>288</v>
      </c>
      <c r="B56">
        <v>1382800465</v>
      </c>
      <c r="C56" s="286">
        <v>45184.407766203702</v>
      </c>
      <c r="D56">
        <v>241487</v>
      </c>
      <c r="E56">
        <v>33033</v>
      </c>
      <c r="F56">
        <v>11</v>
      </c>
      <c r="G56">
        <v>98</v>
      </c>
      <c r="H56" s="287">
        <v>7</v>
      </c>
      <c r="I56" s="287">
        <v>10</v>
      </c>
      <c r="J56" t="s">
        <v>42</v>
      </c>
    </row>
    <row r="57" spans="1:10" x14ac:dyDescent="0.25">
      <c r="A57" t="s">
        <v>378</v>
      </c>
      <c r="B57" t="s">
        <v>379</v>
      </c>
      <c r="C57" s="286">
        <v>45104.693530092591</v>
      </c>
      <c r="D57">
        <v>83528</v>
      </c>
      <c r="E57">
        <v>33033</v>
      </c>
      <c r="F57">
        <v>11</v>
      </c>
      <c r="G57">
        <v>98</v>
      </c>
      <c r="H57" s="287">
        <v>7</v>
      </c>
      <c r="I57">
        <v>41</v>
      </c>
      <c r="J57" t="s">
        <v>42</v>
      </c>
    </row>
    <row r="58" spans="1:10" x14ac:dyDescent="0.25">
      <c r="A58" t="s">
        <v>374</v>
      </c>
      <c r="B58" t="s">
        <v>375</v>
      </c>
      <c r="C58" s="286">
        <v>45103.28125</v>
      </c>
      <c r="D58">
        <v>238436</v>
      </c>
      <c r="E58">
        <v>40230</v>
      </c>
      <c r="F58">
        <v>30</v>
      </c>
      <c r="G58">
        <v>43</v>
      </c>
      <c r="H58">
        <v>14</v>
      </c>
      <c r="I58">
        <v>74</v>
      </c>
      <c r="J58" t="s">
        <v>42</v>
      </c>
    </row>
    <row r="59" spans="1:10" x14ac:dyDescent="0.25">
      <c r="A59" t="s">
        <v>380</v>
      </c>
      <c r="B59" t="s">
        <v>381</v>
      </c>
      <c r="C59" s="286">
        <v>45095.291724537034</v>
      </c>
      <c r="D59">
        <v>53099</v>
      </c>
      <c r="E59">
        <v>33033</v>
      </c>
      <c r="F59">
        <v>11</v>
      </c>
      <c r="G59">
        <v>98</v>
      </c>
      <c r="H59" s="287">
        <v>7</v>
      </c>
      <c r="I59">
        <v>72</v>
      </c>
      <c r="J59" t="s">
        <v>42</v>
      </c>
    </row>
    <row r="60" spans="1:10" x14ac:dyDescent="0.25">
      <c r="A60" t="s">
        <v>376</v>
      </c>
      <c r="B60" t="s">
        <v>377</v>
      </c>
      <c r="C60" s="286">
        <v>45078.317569444444</v>
      </c>
      <c r="D60">
        <v>40580</v>
      </c>
      <c r="E60">
        <v>22413</v>
      </c>
      <c r="F60">
        <v>61</v>
      </c>
      <c r="G60">
        <v>76</v>
      </c>
      <c r="H60">
        <v>30</v>
      </c>
      <c r="I60">
        <v>63</v>
      </c>
      <c r="J60" t="s">
        <v>42</v>
      </c>
    </row>
  </sheetData>
  <sortState xmlns:xlrd2="http://schemas.microsoft.com/office/spreadsheetml/2017/richdata2" ref="A2:J60">
    <sortCondition ref="J1:J60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34E89-C93E-4440-B534-A257F5B0442A}">
  <sheetPr codeName="Foglio29"/>
  <dimension ref="A1:J2"/>
  <sheetViews>
    <sheetView workbookViewId="0">
      <selection activeCell="H10" sqref="H10"/>
    </sheetView>
  </sheetViews>
  <sheetFormatPr defaultRowHeight="15" x14ac:dyDescent="0.25"/>
  <cols>
    <col min="1" max="1" width="30.140625" bestFit="1" customWidth="1"/>
    <col min="2" max="2" width="7.14062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383</v>
      </c>
      <c r="C2" s="286">
        <v>45187.814629629633</v>
      </c>
      <c r="D2" t="s">
        <v>382</v>
      </c>
      <c r="E2">
        <v>0</v>
      </c>
      <c r="F2" s="287"/>
      <c r="G2" s="287"/>
      <c r="H2" s="287"/>
      <c r="I2" t="s">
        <v>382</v>
      </c>
      <c r="J2" t="s">
        <v>42</v>
      </c>
    </row>
  </sheetData>
  <sortState xmlns:xlrd2="http://schemas.microsoft.com/office/spreadsheetml/2017/richdata2" ref="A2:J2">
    <sortCondition ref="J1:J2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FB1D6-6607-45DD-AE12-AA6D44C6167F}">
  <sheetPr codeName="Foglio28"/>
  <dimension ref="A1:J2"/>
  <sheetViews>
    <sheetView workbookViewId="0">
      <selection activeCell="F13" sqref="F13"/>
    </sheetView>
  </sheetViews>
  <sheetFormatPr defaultRowHeight="15" x14ac:dyDescent="0.25"/>
  <cols>
    <col min="1" max="1" width="30.140625" bestFit="1" customWidth="1"/>
    <col min="2" max="2" width="7.14062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383</v>
      </c>
      <c r="C2" s="286">
        <v>45187.814629629633</v>
      </c>
      <c r="D2" t="s">
        <v>382</v>
      </c>
      <c r="E2">
        <v>0</v>
      </c>
      <c r="F2" s="287"/>
      <c r="G2" s="287"/>
      <c r="H2" s="287"/>
      <c r="I2" t="s">
        <v>382</v>
      </c>
      <c r="J2" t="s">
        <v>42</v>
      </c>
    </row>
  </sheetData>
  <sortState xmlns:xlrd2="http://schemas.microsoft.com/office/spreadsheetml/2017/richdata2" ref="A2:J2">
    <sortCondition ref="J1:J2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86424-63E3-4332-971F-54B43683F07E}">
  <sheetPr codeName="Foglio27"/>
  <dimension ref="A1:J60"/>
  <sheetViews>
    <sheetView workbookViewId="0">
      <selection activeCell="E10" sqref="E10"/>
    </sheetView>
  </sheetViews>
  <sheetFormatPr defaultRowHeight="15" x14ac:dyDescent="0.25"/>
  <cols>
    <col min="1" max="1" width="34" bestFit="1" customWidth="1"/>
    <col min="2" max="2" width="11.8554687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C2" s="286">
        <v>45184.374259259261</v>
      </c>
      <c r="D2" t="s">
        <v>152</v>
      </c>
      <c r="E2" t="s">
        <v>223</v>
      </c>
      <c r="F2" s="287">
        <v>5</v>
      </c>
      <c r="G2">
        <v>89</v>
      </c>
      <c r="H2">
        <v>69</v>
      </c>
      <c r="I2">
        <v>67</v>
      </c>
      <c r="J2">
        <v>2</v>
      </c>
    </row>
    <row r="3" spans="1:10" x14ac:dyDescent="0.25">
      <c r="C3" s="286">
        <v>45180.582499999997</v>
      </c>
      <c r="D3" t="s">
        <v>184</v>
      </c>
      <c r="E3" t="s">
        <v>224</v>
      </c>
      <c r="F3" s="287">
        <v>5</v>
      </c>
      <c r="G3">
        <v>16</v>
      </c>
      <c r="H3">
        <v>12</v>
      </c>
      <c r="I3">
        <v>37</v>
      </c>
      <c r="J3">
        <v>3</v>
      </c>
    </row>
    <row r="4" spans="1:10" x14ac:dyDescent="0.25">
      <c r="A4" t="s">
        <v>205</v>
      </c>
      <c r="B4" t="s">
        <v>225</v>
      </c>
      <c r="C4" s="286">
        <v>45170.002060185187</v>
      </c>
      <c r="D4">
        <v>19547</v>
      </c>
      <c r="E4">
        <v>16093</v>
      </c>
      <c r="F4">
        <v>52</v>
      </c>
      <c r="G4">
        <v>56</v>
      </c>
      <c r="H4">
        <v>53</v>
      </c>
      <c r="I4">
        <v>65</v>
      </c>
      <c r="J4">
        <v>4</v>
      </c>
    </row>
    <row r="5" spans="1:10" x14ac:dyDescent="0.25">
      <c r="A5" t="s">
        <v>154</v>
      </c>
      <c r="B5" t="s">
        <v>228</v>
      </c>
      <c r="C5" s="286">
        <v>45177.751932870371</v>
      </c>
      <c r="D5">
        <v>106567</v>
      </c>
      <c r="E5">
        <v>24869</v>
      </c>
      <c r="F5">
        <v>49</v>
      </c>
      <c r="G5">
        <v>57</v>
      </c>
      <c r="H5">
        <v>29</v>
      </c>
      <c r="I5">
        <v>79</v>
      </c>
      <c r="J5">
        <v>5</v>
      </c>
    </row>
    <row r="6" spans="1:10" x14ac:dyDescent="0.25">
      <c r="A6" t="s">
        <v>155</v>
      </c>
      <c r="B6" t="s">
        <v>230</v>
      </c>
      <c r="C6" s="286">
        <v>45179.001736111109</v>
      </c>
      <c r="D6">
        <v>259766</v>
      </c>
      <c r="E6">
        <v>21997</v>
      </c>
      <c r="F6">
        <v>96</v>
      </c>
      <c r="G6">
        <v>93</v>
      </c>
      <c r="H6">
        <v>95</v>
      </c>
      <c r="I6">
        <v>88</v>
      </c>
      <c r="J6">
        <v>6</v>
      </c>
    </row>
    <row r="7" spans="1:10" x14ac:dyDescent="0.25">
      <c r="A7" t="s">
        <v>156</v>
      </c>
      <c r="B7" t="s">
        <v>231</v>
      </c>
      <c r="C7" s="286">
        <v>45179.002314814818</v>
      </c>
      <c r="D7">
        <v>111219</v>
      </c>
      <c r="E7">
        <v>21997</v>
      </c>
      <c r="F7">
        <v>96</v>
      </c>
      <c r="G7">
        <v>93</v>
      </c>
      <c r="H7">
        <v>95</v>
      </c>
      <c r="I7" s="287">
        <v>10</v>
      </c>
      <c r="J7">
        <v>7</v>
      </c>
    </row>
    <row r="8" spans="1:10" x14ac:dyDescent="0.25">
      <c r="A8" t="s">
        <v>153</v>
      </c>
      <c r="B8" t="s">
        <v>233</v>
      </c>
      <c r="C8" s="286">
        <v>45178.041967592595</v>
      </c>
      <c r="D8">
        <v>29934</v>
      </c>
      <c r="E8">
        <v>12834</v>
      </c>
      <c r="F8">
        <v>30</v>
      </c>
      <c r="G8">
        <v>19</v>
      </c>
      <c r="H8">
        <v>16</v>
      </c>
      <c r="I8">
        <v>16</v>
      </c>
      <c r="J8">
        <v>8</v>
      </c>
    </row>
    <row r="9" spans="1:10" x14ac:dyDescent="0.25">
      <c r="A9" t="s">
        <v>157</v>
      </c>
      <c r="B9" t="s">
        <v>234</v>
      </c>
      <c r="C9" s="286">
        <v>45184.384837962964</v>
      </c>
      <c r="D9">
        <v>102367</v>
      </c>
      <c r="E9">
        <v>33033</v>
      </c>
      <c r="F9">
        <v>11</v>
      </c>
      <c r="G9">
        <v>98</v>
      </c>
      <c r="H9" s="287">
        <v>7</v>
      </c>
      <c r="I9">
        <v>78</v>
      </c>
      <c r="J9">
        <v>9</v>
      </c>
    </row>
    <row r="10" spans="1:10" x14ac:dyDescent="0.25">
      <c r="A10" t="s">
        <v>383</v>
      </c>
      <c r="B10" t="s">
        <v>235</v>
      </c>
      <c r="C10" s="286">
        <v>45187.814629629633</v>
      </c>
      <c r="D10" t="s">
        <v>382</v>
      </c>
      <c r="E10">
        <v>19285</v>
      </c>
      <c r="F10" s="287">
        <v>5</v>
      </c>
      <c r="G10" s="287">
        <v>10</v>
      </c>
      <c r="H10" s="287">
        <v>9</v>
      </c>
      <c r="I10" t="s">
        <v>382</v>
      </c>
      <c r="J10">
        <v>10</v>
      </c>
    </row>
    <row r="11" spans="1:10" x14ac:dyDescent="0.25">
      <c r="A11" t="s">
        <v>384</v>
      </c>
      <c r="B11" t="s">
        <v>235</v>
      </c>
      <c r="C11" s="286">
        <v>45183.855104166665</v>
      </c>
      <c r="D11" t="s">
        <v>382</v>
      </c>
      <c r="E11">
        <v>19285</v>
      </c>
      <c r="F11" s="287">
        <v>5</v>
      </c>
      <c r="G11" s="287">
        <v>10</v>
      </c>
      <c r="H11" s="287">
        <v>9</v>
      </c>
      <c r="I11" t="s">
        <v>382</v>
      </c>
      <c r="J11">
        <v>10</v>
      </c>
    </row>
    <row r="12" spans="1:10" x14ac:dyDescent="0.25">
      <c r="A12" t="s">
        <v>158</v>
      </c>
      <c r="B12" t="s">
        <v>235</v>
      </c>
      <c r="C12" s="286">
        <v>45180.289421296293</v>
      </c>
      <c r="D12">
        <v>133729</v>
      </c>
      <c r="E12">
        <v>19300</v>
      </c>
      <c r="F12" s="287">
        <v>5</v>
      </c>
      <c r="G12" s="287">
        <v>9</v>
      </c>
      <c r="H12" s="287">
        <v>8</v>
      </c>
      <c r="I12">
        <v>21</v>
      </c>
      <c r="J12">
        <v>10</v>
      </c>
    </row>
    <row r="13" spans="1:10" x14ac:dyDescent="0.25">
      <c r="A13" t="s">
        <v>176</v>
      </c>
      <c r="B13" t="s">
        <v>236</v>
      </c>
      <c r="C13" s="286">
        <v>45179.9608912037</v>
      </c>
      <c r="D13">
        <v>31685</v>
      </c>
      <c r="E13">
        <v>4749</v>
      </c>
      <c r="F13">
        <v>68</v>
      </c>
      <c r="G13">
        <v>69</v>
      </c>
      <c r="H13">
        <v>64</v>
      </c>
      <c r="I13">
        <v>30</v>
      </c>
      <c r="J13">
        <v>11</v>
      </c>
    </row>
    <row r="14" spans="1:10" x14ac:dyDescent="0.25">
      <c r="A14" t="s">
        <v>203</v>
      </c>
      <c r="B14" t="s">
        <v>238</v>
      </c>
      <c r="C14" s="286">
        <v>45158.001863425925</v>
      </c>
      <c r="D14">
        <v>42820</v>
      </c>
      <c r="E14">
        <v>14846</v>
      </c>
      <c r="F14">
        <v>38</v>
      </c>
      <c r="G14">
        <v>40</v>
      </c>
      <c r="H14">
        <v>35</v>
      </c>
      <c r="I14">
        <v>72</v>
      </c>
      <c r="J14">
        <v>12</v>
      </c>
    </row>
    <row r="15" spans="1:10" x14ac:dyDescent="0.25">
      <c r="A15" t="s">
        <v>204</v>
      </c>
      <c r="B15" t="s">
        <v>202</v>
      </c>
      <c r="C15" s="286">
        <v>45180.381712962961</v>
      </c>
      <c r="D15">
        <v>128881</v>
      </c>
      <c r="E15">
        <v>83552</v>
      </c>
      <c r="F15">
        <v>59</v>
      </c>
      <c r="G15">
        <v>41</v>
      </c>
      <c r="H15" s="287">
        <v>5</v>
      </c>
      <c r="I15">
        <v>21</v>
      </c>
      <c r="J15">
        <v>13</v>
      </c>
    </row>
    <row r="16" spans="1:10" x14ac:dyDescent="0.25">
      <c r="A16" t="s">
        <v>294</v>
      </c>
      <c r="B16" t="s">
        <v>293</v>
      </c>
      <c r="C16" s="286">
        <v>45158.08556712963</v>
      </c>
      <c r="D16">
        <v>11872</v>
      </c>
      <c r="E16">
        <v>517</v>
      </c>
      <c r="F16">
        <v>94</v>
      </c>
      <c r="G16">
        <v>93</v>
      </c>
      <c r="H16">
        <v>93</v>
      </c>
      <c r="I16">
        <v>57</v>
      </c>
      <c r="J16">
        <v>14</v>
      </c>
    </row>
    <row r="17" spans="1:10" x14ac:dyDescent="0.25">
      <c r="A17" t="s">
        <v>160</v>
      </c>
      <c r="B17" t="s">
        <v>240</v>
      </c>
      <c r="C17" s="286">
        <v>45181.375115740739</v>
      </c>
      <c r="D17">
        <v>30045</v>
      </c>
      <c r="E17">
        <v>18914</v>
      </c>
      <c r="F17">
        <v>100</v>
      </c>
      <c r="G17">
        <v>100</v>
      </c>
      <c r="H17">
        <v>100</v>
      </c>
      <c r="I17">
        <v>89</v>
      </c>
      <c r="J17">
        <v>15</v>
      </c>
    </row>
    <row r="18" spans="1:10" x14ac:dyDescent="0.25">
      <c r="A18" t="s">
        <v>161</v>
      </c>
      <c r="B18" t="s">
        <v>241</v>
      </c>
      <c r="C18" s="286">
        <v>45177.75267361111</v>
      </c>
      <c r="D18">
        <v>38793</v>
      </c>
      <c r="E18">
        <v>20891</v>
      </c>
      <c r="F18" s="287">
        <v>5</v>
      </c>
      <c r="G18" s="287">
        <v>10</v>
      </c>
      <c r="H18" s="287">
        <v>5</v>
      </c>
      <c r="I18">
        <v>59</v>
      </c>
      <c r="J18">
        <v>16</v>
      </c>
    </row>
    <row r="19" spans="1:10" x14ac:dyDescent="0.25">
      <c r="A19" t="s">
        <v>183</v>
      </c>
      <c r="B19" t="s">
        <v>242</v>
      </c>
      <c r="C19" s="286">
        <v>45161.687418981484</v>
      </c>
      <c r="D19">
        <v>52646</v>
      </c>
      <c r="E19">
        <v>33033</v>
      </c>
      <c r="F19">
        <v>11</v>
      </c>
      <c r="G19">
        <v>98</v>
      </c>
      <c r="H19" s="287">
        <v>7</v>
      </c>
      <c r="I19" s="287">
        <v>5</v>
      </c>
      <c r="J19">
        <v>17</v>
      </c>
    </row>
    <row r="20" spans="1:10" x14ac:dyDescent="0.25">
      <c r="A20" t="s">
        <v>162</v>
      </c>
      <c r="B20" t="s">
        <v>243</v>
      </c>
      <c r="C20" s="286">
        <v>45181.627337962964</v>
      </c>
      <c r="D20">
        <v>71511</v>
      </c>
      <c r="E20">
        <v>5782</v>
      </c>
      <c r="F20">
        <v>57</v>
      </c>
      <c r="G20">
        <v>58</v>
      </c>
      <c r="H20">
        <v>45</v>
      </c>
      <c r="I20">
        <v>79</v>
      </c>
      <c r="J20">
        <v>18</v>
      </c>
    </row>
    <row r="21" spans="1:10" x14ac:dyDescent="0.25">
      <c r="A21" t="s">
        <v>317</v>
      </c>
      <c r="B21" t="s">
        <v>318</v>
      </c>
      <c r="C21" s="286">
        <v>45158.085231481484</v>
      </c>
      <c r="D21">
        <v>3742</v>
      </c>
      <c r="E21">
        <v>424</v>
      </c>
      <c r="F21">
        <v>96</v>
      </c>
      <c r="G21">
        <v>94</v>
      </c>
      <c r="H21">
        <v>95</v>
      </c>
      <c r="I21">
        <v>83</v>
      </c>
      <c r="J21">
        <v>19</v>
      </c>
    </row>
    <row r="22" spans="1:10" x14ac:dyDescent="0.25">
      <c r="A22" t="s">
        <v>163</v>
      </c>
      <c r="B22" t="s">
        <v>244</v>
      </c>
      <c r="C22" s="286">
        <v>45180.348263888889</v>
      </c>
      <c r="D22">
        <v>44018</v>
      </c>
      <c r="E22">
        <v>35869</v>
      </c>
      <c r="F22">
        <v>87</v>
      </c>
      <c r="G22">
        <v>67</v>
      </c>
      <c r="H22">
        <v>72</v>
      </c>
      <c r="I22">
        <v>95</v>
      </c>
      <c r="J22">
        <v>20</v>
      </c>
    </row>
    <row r="23" spans="1:10" x14ac:dyDescent="0.25">
      <c r="A23" t="s">
        <v>164</v>
      </c>
      <c r="B23" t="s">
        <v>245</v>
      </c>
      <c r="C23" s="286">
        <v>45183.737303240741</v>
      </c>
      <c r="D23">
        <v>47829</v>
      </c>
      <c r="E23">
        <v>8657</v>
      </c>
      <c r="F23">
        <v>12</v>
      </c>
      <c r="G23">
        <v>22</v>
      </c>
      <c r="H23" s="287">
        <v>5</v>
      </c>
      <c r="I23" s="287">
        <v>6</v>
      </c>
      <c r="J23">
        <v>21</v>
      </c>
    </row>
    <row r="24" spans="1:10" x14ac:dyDescent="0.25">
      <c r="A24" t="s">
        <v>165</v>
      </c>
      <c r="B24" t="s">
        <v>246</v>
      </c>
      <c r="C24" s="286">
        <v>45170.043553240743</v>
      </c>
      <c r="D24">
        <v>74960</v>
      </c>
      <c r="E24">
        <v>35526</v>
      </c>
      <c r="F24">
        <v>16</v>
      </c>
      <c r="G24">
        <v>18</v>
      </c>
      <c r="H24">
        <v>18</v>
      </c>
      <c r="I24">
        <v>42</v>
      </c>
      <c r="J24">
        <v>22</v>
      </c>
    </row>
    <row r="25" spans="1:10" x14ac:dyDescent="0.25">
      <c r="A25" t="s">
        <v>177</v>
      </c>
      <c r="B25" t="s">
        <v>247</v>
      </c>
      <c r="C25" s="286">
        <v>45170.547511574077</v>
      </c>
      <c r="D25">
        <v>41979</v>
      </c>
      <c r="E25">
        <v>13231</v>
      </c>
      <c r="F25" s="287">
        <v>5</v>
      </c>
      <c r="G25">
        <v>91</v>
      </c>
      <c r="H25">
        <v>92</v>
      </c>
      <c r="I25">
        <v>36</v>
      </c>
      <c r="J25">
        <v>23</v>
      </c>
    </row>
    <row r="26" spans="1:10" x14ac:dyDescent="0.25">
      <c r="A26" t="s">
        <v>327</v>
      </c>
      <c r="B26" t="s">
        <v>329</v>
      </c>
      <c r="C26" s="286">
        <v>45158.085185185184</v>
      </c>
      <c r="D26">
        <v>19053</v>
      </c>
      <c r="E26">
        <v>5479</v>
      </c>
      <c r="F26">
        <v>29</v>
      </c>
      <c r="G26">
        <v>33</v>
      </c>
      <c r="H26">
        <v>34</v>
      </c>
      <c r="I26">
        <v>52</v>
      </c>
      <c r="J26">
        <v>25</v>
      </c>
    </row>
    <row r="27" spans="1:10" x14ac:dyDescent="0.25">
      <c r="A27" t="s">
        <v>209</v>
      </c>
      <c r="B27" t="s">
        <v>248</v>
      </c>
      <c r="C27" s="286">
        <v>45158.00240740741</v>
      </c>
      <c r="D27">
        <v>18831</v>
      </c>
      <c r="E27">
        <v>2207</v>
      </c>
      <c r="F27">
        <v>86</v>
      </c>
      <c r="G27">
        <v>85</v>
      </c>
      <c r="H27">
        <v>84</v>
      </c>
      <c r="I27">
        <v>13</v>
      </c>
      <c r="J27">
        <v>26</v>
      </c>
    </row>
    <row r="28" spans="1:10" x14ac:dyDescent="0.25">
      <c r="A28" t="s">
        <v>166</v>
      </c>
      <c r="B28" t="s">
        <v>249</v>
      </c>
      <c r="C28" s="286">
        <v>45181.690046296295</v>
      </c>
      <c r="D28">
        <v>46176</v>
      </c>
      <c r="E28">
        <v>49285</v>
      </c>
      <c r="F28">
        <v>19</v>
      </c>
      <c r="G28" s="287">
        <v>5</v>
      </c>
      <c r="H28" s="287">
        <v>5</v>
      </c>
      <c r="I28">
        <v>71</v>
      </c>
      <c r="J28">
        <v>27</v>
      </c>
    </row>
    <row r="29" spans="1:10" x14ac:dyDescent="0.25">
      <c r="A29" t="s">
        <v>159</v>
      </c>
      <c r="B29" t="s">
        <v>250</v>
      </c>
      <c r="C29" s="286">
        <v>45180.291145833333</v>
      </c>
      <c r="D29" t="s">
        <v>382</v>
      </c>
      <c r="E29">
        <v>8657</v>
      </c>
      <c r="F29">
        <v>12</v>
      </c>
      <c r="G29">
        <v>22</v>
      </c>
      <c r="H29" s="287">
        <v>5</v>
      </c>
      <c r="I29" t="s">
        <v>382</v>
      </c>
      <c r="J29">
        <v>28</v>
      </c>
    </row>
    <row r="30" spans="1:10" x14ac:dyDescent="0.25">
      <c r="A30" t="s">
        <v>168</v>
      </c>
      <c r="B30" t="s">
        <v>252</v>
      </c>
      <c r="C30" s="286">
        <v>45170.045428240737</v>
      </c>
      <c r="D30">
        <v>123085</v>
      </c>
      <c r="E30">
        <v>88134</v>
      </c>
      <c r="F30">
        <v>35</v>
      </c>
      <c r="G30">
        <v>48</v>
      </c>
      <c r="H30">
        <v>32</v>
      </c>
      <c r="I30">
        <v>23</v>
      </c>
      <c r="J30">
        <v>30</v>
      </c>
    </row>
    <row r="31" spans="1:10" x14ac:dyDescent="0.25">
      <c r="A31" t="s">
        <v>193</v>
      </c>
      <c r="B31" t="s">
        <v>195</v>
      </c>
      <c r="C31" s="286">
        <v>45170.084745370368</v>
      </c>
      <c r="D31">
        <v>16081</v>
      </c>
      <c r="E31">
        <v>9796</v>
      </c>
      <c r="F31">
        <v>64</v>
      </c>
      <c r="G31">
        <v>61</v>
      </c>
      <c r="H31">
        <v>57</v>
      </c>
      <c r="I31">
        <v>89</v>
      </c>
      <c r="J31">
        <v>31</v>
      </c>
    </row>
    <row r="32" spans="1:10" x14ac:dyDescent="0.25">
      <c r="A32" t="s">
        <v>251</v>
      </c>
      <c r="B32" t="s">
        <v>214</v>
      </c>
      <c r="C32" s="286">
        <v>45158.001701388886</v>
      </c>
      <c r="D32">
        <v>40797</v>
      </c>
      <c r="E32">
        <v>5020</v>
      </c>
      <c r="F32">
        <v>81</v>
      </c>
      <c r="G32">
        <v>79</v>
      </c>
      <c r="H32">
        <v>79</v>
      </c>
      <c r="I32">
        <v>80</v>
      </c>
      <c r="J32">
        <v>32</v>
      </c>
    </row>
    <row r="33" spans="1:10" x14ac:dyDescent="0.25">
      <c r="A33" t="s">
        <v>221</v>
      </c>
      <c r="B33" t="s">
        <v>219</v>
      </c>
      <c r="C33" s="286">
        <v>45158.002233796295</v>
      </c>
      <c r="D33">
        <v>5755</v>
      </c>
      <c r="E33">
        <v>4462</v>
      </c>
      <c r="F33">
        <v>81</v>
      </c>
      <c r="G33">
        <v>81</v>
      </c>
      <c r="H33">
        <v>77</v>
      </c>
      <c r="I33">
        <v>54</v>
      </c>
      <c r="J33">
        <v>33</v>
      </c>
    </row>
    <row r="34" spans="1:10" x14ac:dyDescent="0.25">
      <c r="A34" t="s">
        <v>167</v>
      </c>
      <c r="B34" t="s">
        <v>217</v>
      </c>
      <c r="C34" s="286">
        <v>45174.720532407409</v>
      </c>
      <c r="D34">
        <v>182578</v>
      </c>
      <c r="E34">
        <v>17622</v>
      </c>
      <c r="F34">
        <v>72</v>
      </c>
      <c r="G34">
        <v>77</v>
      </c>
      <c r="H34">
        <v>66</v>
      </c>
      <c r="I34">
        <v>17</v>
      </c>
      <c r="J34">
        <v>34</v>
      </c>
    </row>
    <row r="35" spans="1:10" x14ac:dyDescent="0.25">
      <c r="A35" t="s">
        <v>167</v>
      </c>
      <c r="B35" t="s">
        <v>340</v>
      </c>
      <c r="C35" s="286">
        <v>45135.376331018517</v>
      </c>
      <c r="D35">
        <v>0</v>
      </c>
      <c r="E35">
        <v>0</v>
      </c>
      <c r="F35">
        <v>98</v>
      </c>
      <c r="G35">
        <v>97</v>
      </c>
      <c r="H35">
        <v>97</v>
      </c>
      <c r="I35">
        <v>97</v>
      </c>
      <c r="J35">
        <v>35</v>
      </c>
    </row>
    <row r="36" spans="1:10" x14ac:dyDescent="0.25">
      <c r="A36" t="s">
        <v>185</v>
      </c>
      <c r="B36" t="s">
        <v>253</v>
      </c>
      <c r="C36" s="286">
        <v>45170.358252314814</v>
      </c>
      <c r="D36">
        <v>21796</v>
      </c>
      <c r="E36">
        <v>4527</v>
      </c>
      <c r="F36">
        <v>39</v>
      </c>
      <c r="G36">
        <v>42</v>
      </c>
      <c r="H36">
        <v>26</v>
      </c>
      <c r="I36">
        <v>30</v>
      </c>
      <c r="J36">
        <v>36</v>
      </c>
    </row>
    <row r="37" spans="1:10" x14ac:dyDescent="0.25">
      <c r="A37" t="s">
        <v>201</v>
      </c>
      <c r="B37" t="s">
        <v>197</v>
      </c>
      <c r="C37" s="286">
        <v>45170.001875000002</v>
      </c>
      <c r="D37">
        <v>56258</v>
      </c>
      <c r="E37">
        <v>3918</v>
      </c>
      <c r="F37">
        <v>83</v>
      </c>
      <c r="G37">
        <v>82</v>
      </c>
      <c r="H37">
        <v>79</v>
      </c>
      <c r="I37">
        <v>62</v>
      </c>
      <c r="J37">
        <v>37</v>
      </c>
    </row>
    <row r="38" spans="1:10" x14ac:dyDescent="0.25">
      <c r="A38" t="s">
        <v>344</v>
      </c>
      <c r="B38" t="s">
        <v>346</v>
      </c>
      <c r="C38" s="286">
        <v>45158.085219907407</v>
      </c>
      <c r="D38">
        <v>1044</v>
      </c>
      <c r="E38">
        <v>407</v>
      </c>
      <c r="F38">
        <v>95</v>
      </c>
      <c r="G38">
        <v>95</v>
      </c>
      <c r="H38">
        <v>96</v>
      </c>
      <c r="I38">
        <v>93</v>
      </c>
      <c r="J38">
        <v>38</v>
      </c>
    </row>
    <row r="39" spans="1:10" x14ac:dyDescent="0.25">
      <c r="A39" t="s">
        <v>289</v>
      </c>
      <c r="B39" t="s">
        <v>290</v>
      </c>
      <c r="C39" s="286">
        <v>45158.001701388886</v>
      </c>
      <c r="D39">
        <v>4540</v>
      </c>
      <c r="E39">
        <v>724</v>
      </c>
      <c r="F39">
        <v>95</v>
      </c>
      <c r="G39">
        <v>94</v>
      </c>
      <c r="H39">
        <v>95</v>
      </c>
      <c r="I39">
        <v>82</v>
      </c>
      <c r="J39">
        <v>39</v>
      </c>
    </row>
    <row r="40" spans="1:10" x14ac:dyDescent="0.25">
      <c r="A40" t="s">
        <v>169</v>
      </c>
      <c r="B40" t="s">
        <v>256</v>
      </c>
      <c r="C40" s="286">
        <v>45183.722592592596</v>
      </c>
      <c r="D40">
        <v>69447</v>
      </c>
      <c r="E40">
        <v>45063</v>
      </c>
      <c r="F40">
        <v>40</v>
      </c>
      <c r="G40">
        <v>48</v>
      </c>
      <c r="H40">
        <v>62</v>
      </c>
      <c r="I40">
        <v>24</v>
      </c>
      <c r="J40">
        <v>42</v>
      </c>
    </row>
    <row r="41" spans="1:10" x14ac:dyDescent="0.25">
      <c r="A41" t="s">
        <v>350</v>
      </c>
      <c r="B41" t="s">
        <v>286</v>
      </c>
      <c r="C41" s="286">
        <v>45158.043321759258</v>
      </c>
      <c r="D41">
        <v>6633</v>
      </c>
      <c r="E41">
        <v>1452</v>
      </c>
      <c r="F41">
        <v>91</v>
      </c>
      <c r="G41">
        <v>90</v>
      </c>
      <c r="H41">
        <v>90</v>
      </c>
      <c r="I41">
        <v>70</v>
      </c>
      <c r="J41">
        <v>43</v>
      </c>
    </row>
    <row r="42" spans="1:10" x14ac:dyDescent="0.25">
      <c r="A42" t="s">
        <v>282</v>
      </c>
      <c r="B42" t="s">
        <v>189</v>
      </c>
      <c r="C42" s="286">
        <v>45173.484201388892</v>
      </c>
      <c r="D42">
        <v>85821</v>
      </c>
      <c r="E42">
        <v>12834</v>
      </c>
      <c r="F42">
        <v>30</v>
      </c>
      <c r="G42">
        <v>19</v>
      </c>
      <c r="H42">
        <v>16</v>
      </c>
      <c r="I42">
        <v>70</v>
      </c>
      <c r="J42">
        <v>44</v>
      </c>
    </row>
    <row r="43" spans="1:10" x14ac:dyDescent="0.25">
      <c r="A43" t="s">
        <v>282</v>
      </c>
      <c r="B43" t="s">
        <v>190</v>
      </c>
      <c r="C43" s="286">
        <v>45182.674131944441</v>
      </c>
      <c r="D43">
        <v>50056</v>
      </c>
      <c r="E43">
        <v>8563</v>
      </c>
      <c r="F43">
        <v>70</v>
      </c>
      <c r="G43">
        <v>71</v>
      </c>
      <c r="H43">
        <v>68</v>
      </c>
      <c r="I43" s="287">
        <v>7</v>
      </c>
      <c r="J43">
        <v>45</v>
      </c>
    </row>
    <row r="44" spans="1:10" x14ac:dyDescent="0.25">
      <c r="A44" t="s">
        <v>170</v>
      </c>
      <c r="B44" t="s">
        <v>257</v>
      </c>
      <c r="C44" s="286">
        <v>45184.363715277781</v>
      </c>
      <c r="D44">
        <v>121941</v>
      </c>
      <c r="E44">
        <v>32248</v>
      </c>
      <c r="F44">
        <v>45</v>
      </c>
      <c r="G44">
        <v>51</v>
      </c>
      <c r="H44">
        <v>40</v>
      </c>
      <c r="I44">
        <v>69</v>
      </c>
      <c r="J44">
        <v>46</v>
      </c>
    </row>
    <row r="45" spans="1:10" x14ac:dyDescent="0.25">
      <c r="A45" t="s">
        <v>171</v>
      </c>
      <c r="B45" t="s">
        <v>258</v>
      </c>
      <c r="C45" s="286">
        <v>45158.001828703702</v>
      </c>
      <c r="D45">
        <v>69214</v>
      </c>
      <c r="E45">
        <v>33033</v>
      </c>
      <c r="F45">
        <v>11</v>
      </c>
      <c r="G45">
        <v>98</v>
      </c>
      <c r="H45" s="287">
        <v>7</v>
      </c>
      <c r="I45">
        <v>55</v>
      </c>
      <c r="J45">
        <v>47</v>
      </c>
    </row>
    <row r="46" spans="1:10" x14ac:dyDescent="0.25">
      <c r="A46" t="s">
        <v>171</v>
      </c>
      <c r="B46" t="s">
        <v>237</v>
      </c>
      <c r="C46" s="286">
        <v>45183.398680555554</v>
      </c>
      <c r="D46">
        <v>25127</v>
      </c>
      <c r="E46">
        <v>4124</v>
      </c>
      <c r="F46">
        <v>81</v>
      </c>
      <c r="G46">
        <v>81</v>
      </c>
      <c r="H46">
        <v>82</v>
      </c>
      <c r="I46">
        <v>100</v>
      </c>
      <c r="J46">
        <v>48</v>
      </c>
    </row>
    <row r="47" spans="1:10" x14ac:dyDescent="0.25">
      <c r="A47" t="s">
        <v>171</v>
      </c>
      <c r="B47" t="s">
        <v>260</v>
      </c>
      <c r="C47" s="286">
        <v>45158.601550925923</v>
      </c>
      <c r="D47">
        <v>17882</v>
      </c>
      <c r="E47">
        <v>11680</v>
      </c>
      <c r="F47">
        <v>48</v>
      </c>
      <c r="G47">
        <v>47</v>
      </c>
      <c r="H47">
        <v>40</v>
      </c>
      <c r="I47">
        <v>72</v>
      </c>
      <c r="J47">
        <v>49</v>
      </c>
    </row>
    <row r="48" spans="1:10" x14ac:dyDescent="0.25">
      <c r="A48" t="s">
        <v>171</v>
      </c>
      <c r="B48" t="s">
        <v>259</v>
      </c>
      <c r="C48" s="286">
        <v>45183.388460648152</v>
      </c>
      <c r="D48">
        <v>412379</v>
      </c>
      <c r="E48">
        <v>21997</v>
      </c>
      <c r="F48">
        <v>96</v>
      </c>
      <c r="G48">
        <v>93</v>
      </c>
      <c r="H48">
        <v>95</v>
      </c>
      <c r="I48">
        <v>69</v>
      </c>
      <c r="J48">
        <v>50</v>
      </c>
    </row>
    <row r="49" spans="1:10" x14ac:dyDescent="0.25">
      <c r="A49" t="s">
        <v>178</v>
      </c>
      <c r="B49" t="s">
        <v>262</v>
      </c>
      <c r="C49" s="286">
        <v>45170.043993055559</v>
      </c>
      <c r="D49">
        <v>183560</v>
      </c>
      <c r="E49">
        <v>21997</v>
      </c>
      <c r="F49">
        <v>96</v>
      </c>
      <c r="G49">
        <v>93</v>
      </c>
      <c r="H49">
        <v>95</v>
      </c>
      <c r="I49">
        <v>16</v>
      </c>
      <c r="J49">
        <v>51</v>
      </c>
    </row>
    <row r="50" spans="1:10" x14ac:dyDescent="0.25">
      <c r="A50" t="s">
        <v>172</v>
      </c>
      <c r="B50" t="s">
        <v>264</v>
      </c>
      <c r="C50" s="286">
        <v>45170.043773148151</v>
      </c>
      <c r="D50">
        <v>171304</v>
      </c>
      <c r="E50">
        <v>21997</v>
      </c>
      <c r="F50">
        <v>96</v>
      </c>
      <c r="G50">
        <v>93</v>
      </c>
      <c r="H50">
        <v>95</v>
      </c>
      <c r="I50" s="287">
        <v>6</v>
      </c>
      <c r="J50">
        <v>52</v>
      </c>
    </row>
    <row r="51" spans="1:10" x14ac:dyDescent="0.25">
      <c r="A51" t="s">
        <v>173</v>
      </c>
      <c r="B51" t="s">
        <v>265</v>
      </c>
      <c r="C51" s="286">
        <v>45182.731435185182</v>
      </c>
      <c r="D51">
        <v>41022</v>
      </c>
      <c r="E51">
        <v>6348</v>
      </c>
      <c r="F51">
        <v>15</v>
      </c>
      <c r="G51">
        <v>13</v>
      </c>
      <c r="H51" s="287">
        <v>5</v>
      </c>
      <c r="I51">
        <v>99</v>
      </c>
      <c r="J51">
        <v>53</v>
      </c>
    </row>
    <row r="52" spans="1:10" x14ac:dyDescent="0.25">
      <c r="A52" t="s">
        <v>174</v>
      </c>
      <c r="B52" t="s">
        <v>266</v>
      </c>
      <c r="C52" s="286">
        <v>45180.374259259261</v>
      </c>
      <c r="D52">
        <v>105165</v>
      </c>
      <c r="E52">
        <v>45032</v>
      </c>
      <c r="F52">
        <v>87</v>
      </c>
      <c r="G52">
        <v>32</v>
      </c>
      <c r="H52">
        <v>92</v>
      </c>
      <c r="I52">
        <v>64</v>
      </c>
      <c r="J52">
        <v>54</v>
      </c>
    </row>
    <row r="53" spans="1:10" x14ac:dyDescent="0.25">
      <c r="A53" t="s">
        <v>175</v>
      </c>
      <c r="B53" t="s">
        <v>143</v>
      </c>
      <c r="C53" s="286">
        <v>45169.996053240742</v>
      </c>
      <c r="D53">
        <v>202696</v>
      </c>
      <c r="E53">
        <v>33033</v>
      </c>
      <c r="F53">
        <v>11</v>
      </c>
      <c r="G53">
        <v>98</v>
      </c>
      <c r="H53" s="287">
        <v>7</v>
      </c>
      <c r="I53">
        <v>97</v>
      </c>
      <c r="J53">
        <v>55</v>
      </c>
    </row>
    <row r="54" spans="1:10" x14ac:dyDescent="0.25">
      <c r="A54" t="s">
        <v>175</v>
      </c>
      <c r="B54" t="s">
        <v>142</v>
      </c>
      <c r="C54" s="286">
        <v>45169.999027777776</v>
      </c>
      <c r="D54">
        <v>194717</v>
      </c>
      <c r="E54">
        <v>33033</v>
      </c>
      <c r="F54">
        <v>11</v>
      </c>
      <c r="G54">
        <v>98</v>
      </c>
      <c r="H54" s="287">
        <v>7</v>
      </c>
      <c r="I54">
        <v>60</v>
      </c>
      <c r="J54">
        <v>56</v>
      </c>
    </row>
    <row r="55" spans="1:10" x14ac:dyDescent="0.25">
      <c r="A55" t="s">
        <v>360</v>
      </c>
      <c r="B55" t="s">
        <v>284</v>
      </c>
      <c r="C55" s="286">
        <v>45097.04351851852</v>
      </c>
      <c r="D55">
        <v>11889</v>
      </c>
      <c r="E55">
        <v>15160</v>
      </c>
      <c r="F55">
        <v>28</v>
      </c>
      <c r="G55">
        <v>21</v>
      </c>
      <c r="H55">
        <v>30</v>
      </c>
      <c r="I55">
        <v>21</v>
      </c>
      <c r="J55">
        <v>60</v>
      </c>
    </row>
    <row r="56" spans="1:10" x14ac:dyDescent="0.25">
      <c r="A56" t="s">
        <v>288</v>
      </c>
      <c r="B56">
        <v>1382800465</v>
      </c>
      <c r="C56" s="286">
        <v>45184.407766203702</v>
      </c>
      <c r="D56">
        <v>241487</v>
      </c>
      <c r="E56">
        <v>33033</v>
      </c>
      <c r="F56">
        <v>11</v>
      </c>
      <c r="G56">
        <v>98</v>
      </c>
      <c r="H56" s="287">
        <v>7</v>
      </c>
      <c r="I56" s="287">
        <v>10</v>
      </c>
      <c r="J56" t="s">
        <v>42</v>
      </c>
    </row>
    <row r="57" spans="1:10" x14ac:dyDescent="0.25">
      <c r="A57" t="s">
        <v>378</v>
      </c>
      <c r="B57" t="s">
        <v>379</v>
      </c>
      <c r="C57" s="286">
        <v>45104.693530092591</v>
      </c>
      <c r="D57">
        <v>83528</v>
      </c>
      <c r="E57">
        <v>33033</v>
      </c>
      <c r="F57">
        <v>11</v>
      </c>
      <c r="G57">
        <v>98</v>
      </c>
      <c r="H57" s="287">
        <v>7</v>
      </c>
      <c r="I57">
        <v>41</v>
      </c>
      <c r="J57" t="s">
        <v>42</v>
      </c>
    </row>
    <row r="58" spans="1:10" x14ac:dyDescent="0.25">
      <c r="A58" t="s">
        <v>374</v>
      </c>
      <c r="B58" t="s">
        <v>375</v>
      </c>
      <c r="C58" s="286">
        <v>45103.28125</v>
      </c>
      <c r="D58">
        <v>238436</v>
      </c>
      <c r="E58">
        <v>40230</v>
      </c>
      <c r="F58">
        <v>30</v>
      </c>
      <c r="G58">
        <v>43</v>
      </c>
      <c r="H58">
        <v>14</v>
      </c>
      <c r="I58">
        <v>74</v>
      </c>
      <c r="J58" t="s">
        <v>42</v>
      </c>
    </row>
    <row r="59" spans="1:10" x14ac:dyDescent="0.25">
      <c r="A59" t="s">
        <v>380</v>
      </c>
      <c r="B59" t="s">
        <v>381</v>
      </c>
      <c r="C59" s="286">
        <v>45095.291724537034</v>
      </c>
      <c r="D59">
        <v>53099</v>
      </c>
      <c r="E59">
        <v>33033</v>
      </c>
      <c r="F59">
        <v>11</v>
      </c>
      <c r="G59">
        <v>98</v>
      </c>
      <c r="H59" s="287">
        <v>7</v>
      </c>
      <c r="I59">
        <v>72</v>
      </c>
      <c r="J59" t="s">
        <v>42</v>
      </c>
    </row>
    <row r="60" spans="1:10" x14ac:dyDescent="0.25">
      <c r="A60" t="s">
        <v>376</v>
      </c>
      <c r="B60" t="s">
        <v>377</v>
      </c>
      <c r="C60" s="286">
        <v>45078.317569444444</v>
      </c>
      <c r="D60">
        <v>40580</v>
      </c>
      <c r="E60">
        <v>22413</v>
      </c>
      <c r="F60">
        <v>61</v>
      </c>
      <c r="G60">
        <v>76</v>
      </c>
      <c r="H60">
        <v>30</v>
      </c>
      <c r="I60">
        <v>63</v>
      </c>
      <c r="J60" t="s">
        <v>42</v>
      </c>
    </row>
  </sheetData>
  <sortState xmlns:xlrd2="http://schemas.microsoft.com/office/spreadsheetml/2017/richdata2" ref="A2:J60">
    <sortCondition ref="J1:J60"/>
  </sortState>
  <dataConsolidate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1:AT10"/>
  <sheetViews>
    <sheetView workbookViewId="0">
      <selection activeCell="G17" sqref="G17"/>
    </sheetView>
  </sheetViews>
  <sheetFormatPr defaultRowHeight="15" x14ac:dyDescent="0.25"/>
  <cols>
    <col min="2" max="2" width="25.140625" customWidth="1"/>
    <col min="7" max="7" width="29.28515625" customWidth="1"/>
    <col min="10" max="10" width="23.28515625" customWidth="1"/>
  </cols>
  <sheetData>
    <row r="1" spans="2:46" x14ac:dyDescent="0.25">
      <c r="B1" s="96"/>
      <c r="C1" s="174" t="s">
        <v>0</v>
      </c>
      <c r="D1" s="38" t="s">
        <v>69</v>
      </c>
      <c r="E1" s="38"/>
      <c r="F1" s="38" t="s">
        <v>180</v>
      </c>
      <c r="G1" s="80">
        <v>42917</v>
      </c>
      <c r="H1" s="181">
        <f>IF(L1="",M1/K1,L1)</f>
        <v>66.666666666666671</v>
      </c>
      <c r="I1" s="183">
        <f>H1/(N1/K1)</f>
        <v>6.6666666666666666E-2</v>
      </c>
      <c r="J1" s="191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0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6"/>
      <c r="AP1" s="187">
        <v>44574</v>
      </c>
      <c r="AS1" s="35"/>
    </row>
    <row r="2" spans="2:46" x14ac:dyDescent="0.25">
      <c r="B2" s="96"/>
      <c r="C2" s="174" t="s">
        <v>4</v>
      </c>
      <c r="D2" s="38" t="s">
        <v>69</v>
      </c>
      <c r="E2" s="38"/>
      <c r="F2" s="38"/>
      <c r="G2" s="80">
        <v>42929</v>
      </c>
      <c r="H2" s="181">
        <f>IF(L2="",M2/K2,L2)</f>
        <v>66.666666666666671</v>
      </c>
      <c r="I2" s="183">
        <f>H2/(N2/K2)</f>
        <v>6.6666666666666666E-2</v>
      </c>
      <c r="J2" s="191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0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6"/>
      <c r="AP2" s="188"/>
      <c r="AQ2" s="7" t="s">
        <v>207</v>
      </c>
      <c r="AS2" s="35"/>
    </row>
    <row r="3" spans="2:46" x14ac:dyDescent="0.25">
      <c r="B3" t="s">
        <v>167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1">
        <f>IF(L3="",M3/K3,L3)</f>
        <v>96.666666666666671</v>
      </c>
      <c r="I3" s="183">
        <f>H3/(N3/K3)</f>
        <v>5.8000000000000003E-2</v>
      </c>
      <c r="J3" s="195">
        <v>44804</v>
      </c>
      <c r="K3" s="100">
        <v>3</v>
      </c>
      <c r="L3" s="105"/>
      <c r="M3" s="105">
        <v>290</v>
      </c>
      <c r="N3" s="175">
        <v>5000</v>
      </c>
      <c r="O3" s="186">
        <v>8.9999999999999993E-3</v>
      </c>
      <c r="P3" s="174">
        <v>500</v>
      </c>
      <c r="Q3" s="185">
        <v>8.1000000000000003E-2</v>
      </c>
      <c r="R3" s="190">
        <v>44734</v>
      </c>
      <c r="S3" s="116">
        <v>172662</v>
      </c>
      <c r="T3" s="116">
        <v>16727</v>
      </c>
      <c r="U3" s="190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6"/>
      <c r="AP3" s="188">
        <v>44706</v>
      </c>
      <c r="AQ3" s="179" t="s">
        <v>198</v>
      </c>
      <c r="AS3" s="35"/>
    </row>
    <row r="4" spans="2:46" x14ac:dyDescent="0.25">
      <c r="D4" s="23"/>
      <c r="E4" s="23"/>
      <c r="F4" s="23"/>
      <c r="G4" s="82"/>
      <c r="H4" s="182"/>
      <c r="I4" s="184"/>
      <c r="J4" s="47" t="s">
        <v>215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0"/>
    </row>
    <row r="5" spans="2:46" x14ac:dyDescent="0.25">
      <c r="B5" t="s">
        <v>171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1">
        <f>IF(L5="",M5/K5,L5)</f>
        <v>140</v>
      </c>
      <c r="I5" s="183">
        <f>H5/(N5/K5)</f>
        <v>2.8000000000000001E-2</v>
      </c>
      <c r="J5" s="191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0">
        <v>44734</v>
      </c>
      <c r="S5" s="116">
        <v>455905</v>
      </c>
      <c r="T5" s="169"/>
      <c r="U5" s="190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6"/>
      <c r="AP5" s="187"/>
      <c r="AS5" s="35"/>
    </row>
    <row r="6" spans="2:46" x14ac:dyDescent="0.25">
      <c r="D6" s="23"/>
      <c r="E6" s="23"/>
      <c r="F6" s="23"/>
      <c r="G6" s="82"/>
      <c r="H6" s="182"/>
      <c r="I6" s="184"/>
      <c r="J6" s="47" t="s">
        <v>215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0"/>
    </row>
    <row r="7" spans="2:46" x14ac:dyDescent="0.25">
      <c r="B7" s="53" t="s">
        <v>218</v>
      </c>
      <c r="C7" s="53" t="s">
        <v>8</v>
      </c>
      <c r="D7" s="192" t="s">
        <v>69</v>
      </c>
      <c r="E7" s="38"/>
      <c r="F7" s="38"/>
      <c r="G7" s="80">
        <v>43011</v>
      </c>
      <c r="H7" s="181">
        <f>IF(L7="",M7/K7,L7)</f>
        <v>66.666666666666671</v>
      </c>
      <c r="I7" s="183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0">
        <v>44732</v>
      </c>
      <c r="S7" s="116">
        <v>143595</v>
      </c>
      <c r="T7" s="116">
        <v>10893</v>
      </c>
      <c r="U7" s="190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8">
        <v>44734</v>
      </c>
      <c r="AQ7" t="s">
        <v>206</v>
      </c>
      <c r="AS7" s="35"/>
    </row>
    <row r="8" spans="2:46" x14ac:dyDescent="0.25">
      <c r="D8" s="23"/>
      <c r="E8" s="23"/>
      <c r="F8" s="23"/>
      <c r="G8" s="82"/>
      <c r="H8" s="182"/>
      <c r="I8" s="184"/>
      <c r="J8" s="47" t="s">
        <v>215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0"/>
    </row>
    <row r="9" spans="2:46" x14ac:dyDescent="0.25">
      <c r="D9" s="23"/>
      <c r="E9" s="23"/>
      <c r="F9" s="23"/>
      <c r="G9" s="82"/>
      <c r="H9" s="182"/>
      <c r="I9" s="184"/>
      <c r="J9" s="47"/>
      <c r="K9" s="42"/>
      <c r="N9" s="5"/>
      <c r="O9" s="3"/>
      <c r="P9" s="3"/>
      <c r="R9" s="3"/>
      <c r="S9" s="3"/>
      <c r="T9" s="3"/>
      <c r="U9" s="3"/>
      <c r="V9" s="198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0"/>
    </row>
    <row r="10" spans="2:46" s="200" customFormat="1" x14ac:dyDescent="0.25">
      <c r="B10" s="7" t="s">
        <v>171</v>
      </c>
      <c r="C10" s="201" t="s">
        <v>0</v>
      </c>
      <c r="D10" s="202" t="s">
        <v>13</v>
      </c>
      <c r="E10" s="220"/>
      <c r="F10" s="202" t="s">
        <v>261</v>
      </c>
      <c r="G10" s="202"/>
      <c r="H10" s="203">
        <v>43101</v>
      </c>
      <c r="I10" s="204">
        <f>IF(M10="",N10/L10,M10)</f>
        <v>66.666666666666671</v>
      </c>
      <c r="J10" s="205">
        <f>I10/(O10/L10)</f>
        <v>6.6666666666666666E-2</v>
      </c>
      <c r="K10" s="206">
        <v>44926</v>
      </c>
      <c r="L10" s="207">
        <v>3</v>
      </c>
      <c r="M10" s="208"/>
      <c r="N10" s="208">
        <v>200</v>
      </c>
      <c r="O10" s="209">
        <v>3000</v>
      </c>
      <c r="P10" s="210">
        <v>0.01</v>
      </c>
      <c r="Q10" s="210">
        <v>300</v>
      </c>
      <c r="R10" s="201">
        <v>0.09</v>
      </c>
      <c r="S10" s="211">
        <v>44734</v>
      </c>
      <c r="T10" s="248">
        <v>207448</v>
      </c>
      <c r="U10" s="248">
        <v>25528</v>
      </c>
      <c r="V10" s="211">
        <v>44917</v>
      </c>
      <c r="W10" s="248">
        <v>226527</v>
      </c>
      <c r="X10" s="248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2"/>
      <c r="AO10" s="212"/>
      <c r="AP10" s="212"/>
      <c r="AQ10" s="216"/>
      <c r="AR10" s="200" t="s">
        <v>263</v>
      </c>
      <c r="AT10" s="213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E3:W17"/>
  <sheetViews>
    <sheetView workbookViewId="0">
      <selection activeCell="E27" sqref="E27"/>
    </sheetView>
  </sheetViews>
  <sheetFormatPr defaultRowHeight="15" x14ac:dyDescent="0.25"/>
  <cols>
    <col min="5" max="5" width="28.42578125" customWidth="1"/>
    <col min="6" max="6" width="11" style="1" bestFit="1" customWidth="1"/>
    <col min="7" max="7" width="11" bestFit="1" customWidth="1"/>
    <col min="18" max="18" width="13.5703125" customWidth="1"/>
  </cols>
  <sheetData>
    <row r="3" spans="5:23" x14ac:dyDescent="0.25">
      <c r="K3" s="254"/>
      <c r="L3" s="255"/>
      <c r="M3" s="255"/>
      <c r="N3" s="255"/>
      <c r="O3" s="255"/>
      <c r="P3" s="255"/>
      <c r="Q3" s="255"/>
      <c r="R3" s="256"/>
      <c r="S3" s="255"/>
      <c r="T3" s="255"/>
      <c r="U3" s="255"/>
      <c r="V3" s="255"/>
      <c r="W3" s="257"/>
    </row>
    <row r="4" spans="5:23" x14ac:dyDescent="0.25">
      <c r="F4" s="197">
        <f>SUM(F6:F8)</f>
        <v>4582</v>
      </c>
      <c r="K4" s="258"/>
      <c r="R4" s="125"/>
      <c r="V4" s="125"/>
      <c r="W4" s="259"/>
    </row>
    <row r="5" spans="5:23" x14ac:dyDescent="0.25">
      <c r="K5" s="258"/>
      <c r="R5" s="125" t="s">
        <v>274</v>
      </c>
      <c r="V5" s="125" t="s">
        <v>275</v>
      </c>
      <c r="W5" s="259"/>
    </row>
    <row r="6" spans="5:23" x14ac:dyDescent="0.25">
      <c r="E6" t="s">
        <v>212</v>
      </c>
      <c r="F6" s="1">
        <v>3317</v>
      </c>
      <c r="K6" s="258"/>
      <c r="R6" s="125"/>
      <c r="V6" s="125"/>
      <c r="W6" s="259"/>
    </row>
    <row r="7" spans="5:23" x14ac:dyDescent="0.25">
      <c r="E7" t="s">
        <v>213</v>
      </c>
      <c r="F7" s="1">
        <v>115</v>
      </c>
      <c r="K7" s="258"/>
      <c r="L7" t="s">
        <v>270</v>
      </c>
      <c r="M7" t="s">
        <v>271</v>
      </c>
      <c r="N7" t="s">
        <v>271</v>
      </c>
      <c r="O7" t="s">
        <v>271</v>
      </c>
      <c r="Q7" t="s">
        <v>272</v>
      </c>
      <c r="R7" s="125"/>
      <c r="S7" t="s">
        <v>273</v>
      </c>
      <c r="V7" s="125"/>
      <c r="W7" s="259"/>
    </row>
    <row r="8" spans="5:23" x14ac:dyDescent="0.25">
      <c r="E8" t="s">
        <v>213</v>
      </c>
      <c r="F8" s="1">
        <f>F7*10</f>
        <v>1150</v>
      </c>
      <c r="K8" s="258" t="s">
        <v>269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59"/>
    </row>
    <row r="9" spans="5:23" x14ac:dyDescent="0.25">
      <c r="K9" s="258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59"/>
    </row>
    <row r="10" spans="5:23" x14ac:dyDescent="0.25">
      <c r="K10" s="258"/>
      <c r="R10" s="125"/>
      <c r="V10" s="125"/>
      <c r="W10" s="259"/>
    </row>
    <row r="11" spans="5:23" x14ac:dyDescent="0.25">
      <c r="F11" s="1">
        <f>170*48</f>
        <v>8160</v>
      </c>
      <c r="G11" s="35">
        <f>F11-F4</f>
        <v>3578</v>
      </c>
      <c r="K11" s="258"/>
      <c r="R11" s="125"/>
      <c r="V11" s="125"/>
      <c r="W11" s="259"/>
    </row>
    <row r="12" spans="5:23" x14ac:dyDescent="0.25">
      <c r="K12" s="258"/>
      <c r="R12" s="125"/>
      <c r="W12" s="259"/>
    </row>
    <row r="13" spans="5:23" x14ac:dyDescent="0.25">
      <c r="K13" s="258"/>
      <c r="R13" s="125"/>
      <c r="W13" s="259"/>
    </row>
    <row r="14" spans="5:23" x14ac:dyDescent="0.25">
      <c r="K14" s="258"/>
      <c r="W14" s="259"/>
    </row>
    <row r="15" spans="5:23" x14ac:dyDescent="0.25">
      <c r="K15" s="262" t="s">
        <v>276</v>
      </c>
      <c r="L15" s="7"/>
      <c r="M15" s="7"/>
      <c r="O15">
        <f>V8+V9+L8</f>
        <v>440</v>
      </c>
      <c r="W15" s="259"/>
    </row>
    <row r="16" spans="5:23" x14ac:dyDescent="0.25">
      <c r="K16" s="258"/>
      <c r="W16" s="259"/>
    </row>
    <row r="17" spans="11:23" x14ac:dyDescent="0.25">
      <c r="K17" s="260"/>
      <c r="L17" s="261"/>
      <c r="M17" s="261"/>
      <c r="N17" s="261"/>
      <c r="O17" s="261"/>
      <c r="P17" s="261"/>
      <c r="Q17" s="261"/>
      <c r="R17" s="261"/>
      <c r="S17" s="261"/>
      <c r="T17" s="261"/>
      <c r="U17" s="261"/>
      <c r="V17" s="261"/>
      <c r="W17" s="88"/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5" x14ac:dyDescent="0.25"/>
  <cols>
    <col min="1" max="1" width="6.42578125" hidden="1" customWidth="1"/>
    <col min="2" max="2" width="6.85546875" customWidth="1"/>
    <col min="3" max="3" width="24.140625" customWidth="1"/>
    <col min="4" max="4" width="14.5703125" style="82" customWidth="1"/>
    <col min="5" max="5" width="17.42578125" style="23" customWidth="1"/>
    <col min="6" max="6" width="7.85546875" style="23" customWidth="1"/>
    <col min="7" max="7" width="12.140625" style="47" customWidth="1"/>
    <col min="8" max="8" width="7" style="42" customWidth="1"/>
    <col min="9" max="9" width="11" bestFit="1" customWidth="1"/>
    <col min="10" max="10" width="10.85546875" customWidth="1"/>
    <col min="11" max="11" width="10.140625" style="5" customWidth="1"/>
    <col min="12" max="12" width="6.42578125" style="3" customWidth="1"/>
    <col min="13" max="13" width="10.7109375" style="3" customWidth="1"/>
    <col min="14" max="14" width="8.7109375" customWidth="1"/>
    <col min="15" max="15" width="11.85546875" style="3" customWidth="1"/>
    <col min="16" max="16" width="9.42578125" style="3" customWidth="1"/>
    <col min="17" max="17" width="9.85546875" style="3" customWidth="1"/>
    <col min="18" max="18" width="12.140625" style="3" customWidth="1"/>
    <col min="19" max="20" width="9.28515625" style="3" bestFit="1" customWidth="1"/>
    <col min="21" max="21" width="11.5703125" style="3" customWidth="1"/>
    <col min="22" max="22" width="9.42578125" style="3" customWidth="1"/>
    <col min="23" max="23" width="9" style="3" customWidth="1"/>
    <col min="24" max="24" width="8.42578125" style="3" customWidth="1"/>
    <col min="25" max="25" width="9.140625" customWidth="1"/>
    <col min="26" max="26" width="9" customWidth="1"/>
    <col min="27" max="27" width="8.5703125" customWidth="1"/>
    <col min="28" max="28" width="9.5703125" style="7" customWidth="1"/>
    <col min="29" max="29" width="8.140625" style="7" customWidth="1"/>
    <col min="30" max="30" width="10.5703125" customWidth="1"/>
    <col min="31" max="31" width="10.28515625" customWidth="1"/>
    <col min="32" max="32" width="16" style="91" customWidth="1"/>
    <col min="33" max="33" width="16.7109375" style="91" customWidth="1"/>
  </cols>
  <sheetData>
    <row r="1" spans="1:36" ht="114" customHeight="1" x14ac:dyDescent="0.25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25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25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25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25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.75" thickBot="1" x14ac:dyDescent="0.3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.75" thickBot="1" x14ac:dyDescent="0.3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25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25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25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25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25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25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25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25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25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25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25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25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25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25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25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25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25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25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25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25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25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25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25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25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25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25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7.25" thickBot="1" x14ac:dyDescent="0.75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.75" thickBot="1" x14ac:dyDescent="0.3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25">
      <c r="C36" s="53" t="s">
        <v>135</v>
      </c>
      <c r="D36" s="82">
        <v>44013</v>
      </c>
      <c r="E36" s="23" t="s">
        <v>136</v>
      </c>
      <c r="F36" s="288" t="s">
        <v>137</v>
      </c>
      <c r="G36" s="288"/>
      <c r="H36" s="288"/>
      <c r="I36" s="288"/>
      <c r="J36" s="288"/>
      <c r="O36" s="136" t="s">
        <v>133</v>
      </c>
      <c r="P36" s="137"/>
      <c r="Q36" s="138"/>
      <c r="R36" s="10"/>
    </row>
    <row r="37" spans="3:26" x14ac:dyDescent="0.25">
      <c r="C37" s="7"/>
      <c r="O37" s="131">
        <v>11834</v>
      </c>
      <c r="P37" s="14">
        <v>10355</v>
      </c>
      <c r="Q37" s="132">
        <v>1479</v>
      </c>
      <c r="R37" s="10"/>
    </row>
    <row r="38" spans="3:26" ht="15.75" thickBot="1" x14ac:dyDescent="0.3">
      <c r="O38" s="133" t="s">
        <v>132</v>
      </c>
      <c r="P38" s="134" t="s">
        <v>131</v>
      </c>
      <c r="Q38" s="135" t="s">
        <v>130</v>
      </c>
    </row>
  </sheetData>
  <autoFilter ref="B1:AE1" xr:uid="{00000000-0009-0000-0000-000005000000}">
    <sortState xmlns:xlrd2="http://schemas.microsoft.com/office/spreadsheetml/2017/richdata2"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5">
    <pageSetUpPr fitToPage="1"/>
  </sheetPr>
  <dimension ref="A1:Q38"/>
  <sheetViews>
    <sheetView zoomScale="85" zoomScaleNormal="85" workbookViewId="0">
      <pane ySplit="750" activePane="bottomLeft"/>
      <selection activeCell="L1" sqref="L1:L1048576"/>
      <selection pane="bottomLeft" activeCell="E24" sqref="E24"/>
    </sheetView>
  </sheetViews>
  <sheetFormatPr defaultColWidth="9.140625" defaultRowHeight="15" x14ac:dyDescent="0.25"/>
  <cols>
    <col min="1" max="1" width="16.5703125" style="16" customWidth="1"/>
    <col min="2" max="2" width="9.7109375" style="3" customWidth="1"/>
    <col min="3" max="3" width="23.85546875" style="7" customWidth="1"/>
    <col min="4" max="4" width="13" style="3" customWidth="1"/>
    <col min="5" max="5" width="11.42578125" style="3" customWidth="1"/>
    <col min="6" max="6" width="20.28515625" style="3" bestFit="1" customWidth="1"/>
    <col min="7" max="7" width="17" style="4" customWidth="1"/>
    <col min="8" max="8" width="19" style="4" bestFit="1" customWidth="1"/>
    <col min="9" max="9" width="19.140625" style="3" customWidth="1"/>
    <col min="10" max="10" width="14.5703125" style="3" customWidth="1"/>
    <col min="11" max="11" width="12.42578125" style="3" customWidth="1"/>
    <col min="12" max="12" width="13.5703125" style="4" customWidth="1"/>
    <col min="13" max="13" width="15.7109375" style="3" customWidth="1"/>
    <col min="14" max="14" width="18.5703125" style="3" customWidth="1"/>
    <col min="15" max="16384" width="9.140625" style="3"/>
  </cols>
  <sheetData>
    <row r="1" spans="1:17" s="14" customFormat="1" ht="25.5" x14ac:dyDescent="0.25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25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25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25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25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25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25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25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25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25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25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25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25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25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25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25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25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25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25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25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25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25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25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25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25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25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25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25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25">
      <c r="M29"/>
    </row>
    <row r="31" spans="1:17" x14ac:dyDescent="0.25">
      <c r="A31" s="3"/>
      <c r="B31" s="76" t="s">
        <v>104</v>
      </c>
      <c r="C31" s="77"/>
    </row>
    <row r="32" spans="1:17" x14ac:dyDescent="0.25">
      <c r="M32"/>
    </row>
    <row r="33" spans="1:17" x14ac:dyDescent="0.25">
      <c r="M33"/>
    </row>
    <row r="34" spans="1:17" x14ac:dyDescent="0.25">
      <c r="M34"/>
    </row>
    <row r="35" spans="1:17" s="74" customFormat="1" x14ac:dyDescent="0.25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25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25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25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 xr:uid="{00000000-0009-0000-0000-000006000000}"/>
  <sortState xmlns:xlrd2="http://schemas.microsoft.com/office/spreadsheetml/2017/richdata2"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5" x14ac:dyDescent="0.25"/>
  <cols>
    <col min="1" max="1" width="20.85546875" customWidth="1"/>
    <col min="2" max="2" width="16.42578125" style="41" customWidth="1"/>
    <col min="3" max="3" width="17.42578125" style="23" customWidth="1"/>
    <col min="4" max="4" width="10.7109375" style="42" customWidth="1"/>
    <col min="5" max="5" width="16.28515625" style="5" customWidth="1"/>
    <col min="6" max="6" width="11" style="3" customWidth="1"/>
    <col min="7" max="7" width="18.85546875" style="3" customWidth="1"/>
    <col min="8" max="8" width="11.140625" style="3" customWidth="1"/>
    <col min="9" max="10" width="13.5703125" style="3" customWidth="1"/>
    <col min="11" max="11" width="11.42578125" style="3" bestFit="1" customWidth="1"/>
    <col min="12" max="12" width="14" style="3" bestFit="1" customWidth="1"/>
    <col min="13" max="14" width="9.28515625" style="3" bestFit="1" customWidth="1"/>
    <col min="15" max="15" width="17.85546875" style="3" bestFit="1" customWidth="1"/>
    <col min="16" max="16" width="18.28515625" style="3" bestFit="1" customWidth="1"/>
    <col min="17" max="17" width="10" style="3" customWidth="1"/>
    <col min="18" max="18" width="14.5703125" bestFit="1" customWidth="1"/>
    <col min="19" max="19" width="12.42578125" bestFit="1" customWidth="1"/>
    <col min="20" max="20" width="14.5703125" bestFit="1" customWidth="1"/>
    <col min="21" max="21" width="9.140625" style="2"/>
  </cols>
  <sheetData>
    <row r="1" spans="1:21" ht="75" customHeight="1" x14ac:dyDescent="0.25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25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25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25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25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25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25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25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25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25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25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25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25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25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25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25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25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25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25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25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25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25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25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25">
      <c r="B24" s="40"/>
      <c r="I24" s="10"/>
      <c r="L24" s="10"/>
    </row>
    <row r="25" spans="1:26" x14ac:dyDescent="0.25">
      <c r="B25" s="40"/>
      <c r="I25" s="10"/>
      <c r="L25" s="10"/>
    </row>
    <row r="26" spans="1:26" x14ac:dyDescent="0.25">
      <c r="B26" s="40"/>
      <c r="I26" s="10"/>
      <c r="L26" s="10"/>
    </row>
    <row r="27" spans="1:26" x14ac:dyDescent="0.25">
      <c r="I27" s="10"/>
      <c r="L27" s="10"/>
    </row>
    <row r="28" spans="1:26" x14ac:dyDescent="0.25">
      <c r="A28" s="7" t="s">
        <v>102</v>
      </c>
      <c r="I28" s="10"/>
      <c r="L28" s="10"/>
    </row>
    <row r="29" spans="1:26" s="63" customFormat="1" x14ac:dyDescent="0.25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25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25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25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25">
      <c r="I33" s="10"/>
      <c r="L33" s="10"/>
    </row>
    <row r="34" spans="1:14" s="3" customFormat="1" x14ac:dyDescent="0.25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25">
      <c r="I35" s="10"/>
      <c r="L35" s="10"/>
    </row>
    <row r="36" spans="1:14" x14ac:dyDescent="0.25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7"/>
  <dimension ref="B3:F32"/>
  <sheetViews>
    <sheetView workbookViewId="0">
      <selection activeCell="F18" sqref="F18"/>
    </sheetView>
  </sheetViews>
  <sheetFormatPr defaultRowHeight="15" x14ac:dyDescent="0.25"/>
  <cols>
    <col min="2" max="2" width="42.7109375" bestFit="1" customWidth="1"/>
    <col min="3" max="3" width="9.42578125" style="1" bestFit="1" customWidth="1"/>
    <col min="4" max="4" width="3.42578125" customWidth="1"/>
    <col min="5" max="5" width="11" bestFit="1" customWidth="1"/>
    <col min="6" max="6" width="8.42578125" bestFit="1" customWidth="1"/>
  </cols>
  <sheetData>
    <row r="3" spans="2:6" x14ac:dyDescent="0.25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25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25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25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25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25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25">
      <c r="E11" s="35">
        <f>SUM(E3:E10)</f>
        <v>1128</v>
      </c>
      <c r="F11" s="35">
        <f>E11/36</f>
        <v>31.333333333333332</v>
      </c>
    </row>
    <row r="12" spans="2:6" x14ac:dyDescent="0.25">
      <c r="E12" s="35">
        <f>F12*36</f>
        <v>1800</v>
      </c>
      <c r="F12" s="36">
        <v>50</v>
      </c>
    </row>
    <row r="14" spans="2:6" x14ac:dyDescent="0.25">
      <c r="E14" s="36">
        <f>E12-E11</f>
        <v>672</v>
      </c>
    </row>
    <row r="21" spans="2:6" x14ac:dyDescent="0.25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25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25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25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25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25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25">
      <c r="E29" s="35">
        <f>SUM(E21:E28)</f>
        <v>1182</v>
      </c>
      <c r="F29" s="35">
        <f>E29/36</f>
        <v>32.833333333333336</v>
      </c>
    </row>
    <row r="30" spans="2:6" x14ac:dyDescent="0.25">
      <c r="E30" s="35">
        <f>F30*36</f>
        <v>1800</v>
      </c>
      <c r="F30" s="36">
        <v>50</v>
      </c>
    </row>
    <row r="32" spans="2:6" x14ac:dyDescent="0.25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27</vt:i4>
      </vt:variant>
    </vt:vector>
  </HeadingPairs>
  <TitlesOfParts>
    <vt:vector size="27" baseType="lpstr">
      <vt:lpstr>CONGUAGLI</vt:lpstr>
      <vt:lpstr>Dati 20-09-2023 12.42.51</vt:lpstr>
      <vt:lpstr>Dati 20-09-2023 12.41.05</vt:lpstr>
      <vt:lpstr>Dati 20-09-2023 12.39.47</vt:lpstr>
      <vt:lpstr>Dati 20-09-2023 12.38.39</vt:lpstr>
      <vt:lpstr>Dati 20-09-2023 12.32.44</vt:lpstr>
      <vt:lpstr>Dati 19-09-2023 22.58.39</vt:lpstr>
      <vt:lpstr>Dati 19-09-2023 22.58.29</vt:lpstr>
      <vt:lpstr>Dati 19-09-2023 22.56.38</vt:lpstr>
      <vt:lpstr>Dati 19-09-2023 22.55.58</vt:lpstr>
      <vt:lpstr>Dati 19-09-2023 22.40.42</vt:lpstr>
      <vt:lpstr>Dati 19-09-2023 22.40.18</vt:lpstr>
      <vt:lpstr>Dati 19-09-2023 22.39.11</vt:lpstr>
      <vt:lpstr>Dati 19-09-2023 22.37.28</vt:lpstr>
      <vt:lpstr>Dati 19-09-2023 22.36.56</vt:lpstr>
      <vt:lpstr>Dati 19-09-2023 22.35.34</vt:lpstr>
      <vt:lpstr>Dati 19-09-2023 22.34.19</vt:lpstr>
      <vt:lpstr>Dati 19-09-2023 22.32.40</vt:lpstr>
      <vt:lpstr>Dati 19-09-2023 22.31.46</vt:lpstr>
      <vt:lpstr>Dati 19-09-2023 22.31.00</vt:lpstr>
      <vt:lpstr>Dati 19-09-2023 22.23.16</vt:lpstr>
      <vt:lpstr>scaduti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2023-09-20T11:40:31Z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