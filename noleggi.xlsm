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E1157B6B-69EA-405D-B071-817540E7F322}" xr6:coauthVersionLast="47" xr6:coauthVersionMax="47" xr10:uidLastSave="{00000000-0000-0000-0000-000000000000}"/>
  <bookViews>
    <workbookView xWindow="-120" yWindow="-120" windowWidth="29040" windowHeight="15720" tabRatio="847" activeTab="1" xr2:uid="{00000000-000D-0000-FFFF-FFFF00000000}"/>
  </bookViews>
  <sheets>
    <sheet name="CONGUAGLI" sheetId="6" r:id="rId1"/>
    <sheet name="Dati 19-09-2023 22.58.39" sheetId="78" r:id="rId2"/>
    <sheet name="Dati 19-09-2023 22.58.29" sheetId="77" r:id="rId3"/>
    <sheet name="Dati 19-09-2023 22.56.38" sheetId="76" r:id="rId4"/>
    <sheet name="Dati 19-09-2023 22.55.58" sheetId="75" r:id="rId5"/>
    <sheet name="Dati 19-09-2023 22.40.42" sheetId="74" r:id="rId6"/>
    <sheet name="Dati 19-09-2023 22.40.18" sheetId="73" r:id="rId7"/>
    <sheet name="Dati 19-09-2023 22.39.11" sheetId="72" r:id="rId8"/>
    <sheet name="Dati 19-09-2023 22.37.28" sheetId="71" r:id="rId9"/>
    <sheet name="Dati 19-09-2023 22.36.56" sheetId="70" r:id="rId10"/>
    <sheet name="Dati 19-09-2023 22.35.34" sheetId="69" r:id="rId11"/>
    <sheet name="Dati 19-09-2023 22.34.19" sheetId="68" r:id="rId12"/>
    <sheet name="Dati 19-09-2023 22.32.40" sheetId="67" r:id="rId13"/>
    <sheet name="Dati 19-09-2023 22.31.46" sheetId="66" r:id="rId14"/>
    <sheet name="Dati 19-09-2023 22.31.00" sheetId="65" r:id="rId15"/>
    <sheet name="Dati 19-09-2023 22.23.16" sheetId="64" r:id="rId16"/>
    <sheet name="scaduti" sheetId="8" r:id="rId17"/>
    <sheet name="conti" sheetId="7" state="hidden" r:id="rId18"/>
    <sheet name="CONGUAGLI  old al 17-6" sheetId="5" state="hidden" r:id="rId19"/>
    <sheet name="noleggi" sheetId="1" state="hidden" r:id="rId20"/>
    <sheet name="CONGUAGLI old o chiusi" sheetId="2" state="hidden" r:id="rId21"/>
    <sheet name="CONTI A4" sheetId="3" state="hidden" r:id="rId22"/>
  </sheets>
  <functionGroups builtInGroupCount="19"/>
  <definedNames>
    <definedName name="_xlnm._FilterDatabase" localSheetId="0" hidden="1">CONGUAGLI!$A$1:$AS$54</definedName>
    <definedName name="_xlnm._FilterDatabase" localSheetId="18" hidden="1">'CONGUAGLI  old al 17-6'!$B$1:$AE$1</definedName>
    <definedName name="_xlnm._FilterDatabase" localSheetId="19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<sst xmlns="http://schemas.openxmlformats.org/spreadsheetml/2006/main" count="1739" uniqueCount="386">
  <si>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</si>
  <si>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</si>
  <si>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</si>
  <si>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</si>
  <si>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</si>
  <si>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</si>
  <si>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</si>
  <si>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</si>
  <si>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</si>
  <si>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</si>
  <si>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</si>
  <si>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</si>
  <si>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</si>
  <si>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</si>
  <si>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</si>
  <si>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</si>
  <si>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</si>
  <si>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</si>
  <si>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</si>
  <si>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</si>
  <si>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</si>
  <si>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</si>
  <si>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</si>
  <si>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</si>
  <si>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</si>
  <si>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</si>
  <si>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</si>
  <si>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</si>
  <si>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</si>
  <si>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</si>
  <si>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</si>
  <si>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</si>
  <si>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</si>
  <si>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</si>
  <si>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</si>
  <si>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</si>
  <si>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</si>
  <si>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</si>
  <si>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</si>
  <si>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</si>
  <si>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</si>
  <si>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</si>
  <si>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</si>
  <si>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</si>
  <si>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</si>
  <si>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</si>
  <si>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</si>
  <si>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</si>
  <si>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</si>
  <si>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</si>
  <si>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</si>
  <si>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</si>
  <si>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</si>
  <si>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</si>
  <si>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</si>
  <si>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</si>
  <si>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</si>
  <si>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</si>
  <si>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</si>
  <si>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</si>
  <si>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</si>
  <si>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</si>
  <si>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</si>
  <si>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</si>
  <si>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</si>
  <si>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</si>
  <si>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</si>
  <si>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</si>
  <si>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</si>
  <si>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</si>
  <si>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</si>
  <si>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</si>
  <si>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</si>
  <si>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</si>
  <si>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</si>
  <si>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</si>
  <si>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</si>
  <si>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</si>
  <si>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</si>
  <si>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</si>
  <si>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</si>
  <si>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</si>
  <si>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</si>
  <si>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</si>
  <si>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</si>
  <si>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</si>
  <si>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</si>
  <si>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</si>
  <si>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</si>
  <si>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</si>
  <si>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</si>
  <si>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</si>
  <si>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</si>
  <si>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</si>
  <si>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</si>
  <si>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</si>
  <si>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</si>
  <si>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</si>
  <si>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</si>
  <si>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</si>
  <si>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</si>
  <si>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</si>
  <si>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</si>
  <si>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</si>
  <si>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</si>
  <si>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</si>
  <si>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</si>
  <si>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</si>
  <si>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</si>
  <si>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</si>
  <si>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</si>
  <si>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</si>
  <si>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</si>
  <si>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</si>
  <si>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</si>
  <si>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</si>
  <si>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</si>
  <si>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</si>
  <si>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</si>
  <si>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</si>
  <si>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</si>
  <si>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</si>
  <si>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</si>
  <si>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</si>
  <si>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</si>
  <si>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</si>
  <si>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</si>
  <si>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</si>
  <si>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</si>
  <si>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</si>
  <si>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</si>
  <si>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</si>
  <si>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</si>
  <si>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</si>
  <si>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</si>
  <si>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</si>
  <si>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</si>
  <si>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</si>
  <si>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</si>
  <si>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</si>
  <si>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</si>
  <si>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</si>
  <si>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</si>
  <si>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</si>
  <si>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</si>
  <si>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</si>
  <si>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</si>
  <si>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</si>
  <si>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</si>
  <si>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</si>
  <si>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</si>
  <si>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</si>
  <si>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</si>
  <si>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</si>
  <si>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</si>
  <si>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</si>
  <si>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</si>
  <si>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</si>
  <si>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</si>
  <si>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</si>
  <si>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</si>
  <si>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</si>
  <si>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</si>
  <si>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</si>
  <si>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</si>
  <si>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</si>
  <si>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</si>
  <si>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</si>
  <si>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</si>
  <si>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</si>
  <si>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</si>
  <si>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</si>
  <si>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</si>
  <si>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</si>
  <si>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</si>
  <si>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</si>
  <si>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</si>
  <si>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</si>
  <si>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</si>
  <si>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</si>
  <si>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</si>
  <si>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</si>
  <si>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</si>
  <si>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</si>
  <si>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</si>
  <si>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</si>
  <si>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</si>
  <si>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</si>
  <si>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</si>
  <si>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</si>
  <si>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</si>
  <si>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</si>
  <si>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</si>
  <si>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</si>
  <si>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</si>
  <si>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</si>
  <si>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</si>
  <si>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</si>
  <si>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</si>
  <si>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</si>
  <si>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</si>
  <si>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</si>
  <si>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</si>
  <si>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</si>
  <si>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</si>
  <si>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</si>
  <si>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</si>
  <si>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</si>
  <si>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</si>
  <si>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</si>
  <si>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</si>
  <si>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</si>
  <si>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</si>
  <si>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</si>
  <si>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</si>
  <si>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</si>
  <si>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</si>
  <si>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</si>
  <si>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</si>
  <si>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</si>
  <si>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</si>
  <si>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</si>
  <si>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</si>
  <si>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</si>
  <si>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</si>
  <si>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</si>
  <si>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</si>
  <si>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</si>
  <si>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</si>
  <si>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</si>
  <si>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</si>
  <si>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</si>
  <si>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</si>
  <si>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</si>
  <si>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</si>
  <si>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</si>
  <si>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</si>
  <si>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</si>
  <si>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</si>
  <si>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</si>
  <si>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</si>
  <si>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</si>
  <si>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</si>
  <si>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</si>
  <si>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</si>
  <si>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</si>
  <si>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</si>
  <si>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</si>
  <si>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</si>
  <si>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</si>
  <si>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</si>
  <si>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</si>
  <si>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</si>
  <si>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</si>
  <si>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</si>
  <si>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</si>
  <si>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</si>
  <si>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</si>
  <si>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</si>
  <si>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</si>
  <si>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</si>
  <si>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</si>
  <si>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</si>
  <si>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</si>
  <si>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</si>
  <si>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</si>
  <si>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</si>
  <si>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</si>
  <si>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</si>
  <si>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</si>
  <si>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</si>
  <si>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</si>
  <si>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</si>
  <si>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</si>
  <si>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</si>
  <si>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</si>
  <si>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</si>
  <si>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</si>
  <si>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</si>
  <si>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</si>
  <si>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</si>
  <si>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</si>
  <si>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</si>
  <si>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</si>
  <si>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</si>
  <si>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</si>
  <si>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</si>
  <si>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</si>
  <si>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</si>
  <si>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</si>
  <si>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</si>
  <si>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</si>
  <si>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</si>
  <si>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</si>
  <si>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</si>
  <si>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</si>
  <si>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</si>
  <si>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</si>
  <si>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</si>
  <si>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</si>
  <si>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</si>
  <si>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</si>
  <si>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</si>
  <si>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</si>
  <si>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</si>
  <si>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</si>
  <si>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</si>
  <si>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</si>
  <si>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</si>
  <si>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</si>
  <si>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</si>
  <si>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</si>
  <si>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</si>
  <si>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</si>
  <si>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</si>
  <si>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</si>
  <si>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</si>
  <si>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</si>
  <si>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</si>
  <si>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</si>
  <si>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</si>
  <si>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</si>
  <si>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</si>
  <si>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</si>
  <si>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</si>
  <si>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</si>
  <si>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</si>
  <si>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</si>
  <si>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</si>
  <si>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</si>
  <si>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</si>
  <si>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</si>
  <si>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</si>
  <si>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</si>
  <si>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</si>
  <si>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</si>
  <si>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</si>
  <si>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</si>
  <si>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</si>
  <si>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</si>
  <si>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</si>
  <si>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</si>
  <si>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</si>
  <si>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</si>
  <si>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</si>
  <si>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</si>
  <si>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</si>
  <si>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</si>
  <si>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</si>
  <si>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</si>
  <si>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</si>
  <si>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</si>
  <si>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</si>
  <si>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</si>
  <si>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</si>
  <si>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</si>
  <si>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</si>
  <si>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</si>
  <si>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</si>
  <si>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</si>
  <si>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</si>
  <si>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</si>
  <si>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</si>
  <si>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</si>
  <si>
    <t>Email</t>
  </si>
  <si>
    <t>Pagine nero</t>
  </si>
  <si>
    <t>Pagine colore</t>
  </si>
  <si>
    <t>Ciano</t>
  </si>
  <si>
    <t>Magenta</t>
  </si>
  <si>
    <t>Giallo</t>
  </si>
  <si>
    <t>Nero</t>
  </si>
  <si>
    <t>Seriale</t>
  </si>
  <si>
    <t>Data</t>
  </si>
  <si>
    <t>Riga</t>
  </si>
  <si>
    <t>lfinazzi-ta@e-send.it</t>
  </si>
  <si>
    <t>VFL7508161</t>
  </si>
  <si>
    <t>ta2506europroject@e-send.it</t>
  </si>
  <si>
    <t>VFL8720166</t>
  </si>
  <si>
    <t>ta2540isavar@e-send.it</t>
  </si>
  <si>
    <t>R659Z02940</t>
  </si>
  <si>
    <t>stampantiflligelmini@e-send.it</t>
  </si>
  <si>
    <t>VRJ8609611</t>
  </si>
  <si>
    <t>Controllare</t>
  </si>
  <si>
    <t>notification@facebookmail.com</t>
  </si>
  <si>
    <t>mail-service@gigya-raas.com</t>
  </si>
  <si>
    <t>avvisi@messaggi.intesasanpaolo.com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</si>
</sst>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22" fontId="0" fillId="0" borderId="0" xfId="0" applyNumberFormat="1"/>
    <xf numFmtId="0" fontId="0" fillId="26" borderId="0" xfId="0" applyFill="1"/>
    <xf numFmtId="17" fontId="0" fillId="0" borderId="0" xfId="0" applyNumberFormat="1" applyAlignment="1">
      <alignment horizontal="center" wrapText="1"/>
    </xf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A18" zoomScale="85" zoomScaleNormal="85" workbookViewId="0">
      <selection activeCell="B27" sqref="B27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295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296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297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7">
        <v>5000</v>
      </c>
      <c r="P4" s="268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298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299</v>
      </c>
      <c r="AS5" s="7" t="s">
        <v>300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301</v>
      </c>
      <c r="AS6" s="53" t="s">
        <v>302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303</v>
      </c>
      <c r="AS7" s="53" t="s">
        <v>302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304</v>
      </c>
      <c r="AS8" s="7" t="s">
        <v>305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8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306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307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308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309</v>
      </c>
      <c r="AS12" s="53" t="s">
        <v>310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311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312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313</v>
      </c>
      <c r="AS15" s="269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314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315</v>
      </c>
      <c r="AS17" s="53" t="s">
        <v>310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316</v>
      </c>
      <c r="AS18" s="189">
        <v>0</v>
      </c>
      <c r="AT18" s="189"/>
      <c r="AU18" s="189"/>
    </row>
    <row r="19" spans="2:47" x14ac:dyDescent="0.25">
      <c r="B19" s="7" t="s">
        <v>317</v>
      </c>
      <c r="C19" s="174" t="s">
        <v>53</v>
      </c>
      <c r="D19" s="38" t="s">
        <v>194</v>
      </c>
      <c r="E19" s="218"/>
      <c r="F19" s="38" t="s">
        <v>318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7">
        <v>5000</v>
      </c>
      <c r="P19" s="268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319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320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321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322</v>
      </c>
      <c r="AS22" s="125" t="s">
        <v>323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324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325</v>
      </c>
      <c r="AS24" s="53" t="s">
        <v>326</v>
      </c>
    </row>
    <row r="25" spans="2:47" x14ac:dyDescent="0.25">
      <c r="B25" s="7" t="s">
        <v>327</v>
      </c>
      <c r="C25" s="174" t="s">
        <v>283</v>
      </c>
      <c r="D25" s="192" t="s">
        <v>328</v>
      </c>
      <c r="E25" s="270"/>
      <c r="F25" s="125" t="s">
        <v>329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1">
        <v>230</v>
      </c>
      <c r="N25" s="271"/>
      <c r="O25" s="272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325</v>
      </c>
      <c r="AS25" s="53" t="s">
        <v>326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7">
        <v>5000</v>
      </c>
      <c r="P26" s="268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330</v>
      </c>
      <c r="AS26" s="125" t="s">
        <v>331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332</v>
      </c>
      <c r="AS27" s="53" t="s">
        <v>333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334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3">
        <v>45231</v>
      </c>
      <c r="L29" s="100">
        <v>3</v>
      </c>
      <c r="M29" s="101"/>
      <c r="N29" s="101">
        <v>200</v>
      </c>
      <c r="O29" s="267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4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7">
        <v>5000</v>
      </c>
      <c r="P30" s="275">
        <v>8.9999999999999993E-3</v>
      </c>
      <c r="Q30" s="276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335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7">
        <v>5000</v>
      </c>
      <c r="P31" s="275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336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7">
        <v>5000</v>
      </c>
      <c r="P32" s="268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337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7">
        <v>5000</v>
      </c>
      <c r="P33" s="268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338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7">
        <v>0</v>
      </c>
      <c r="P34" s="268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339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0"/>
      <c r="F35" s="192" t="s">
        <v>340</v>
      </c>
      <c r="G35" s="192" t="s">
        <v>341</v>
      </c>
      <c r="H35" s="199">
        <v>45135</v>
      </c>
      <c r="I35" s="277">
        <f t="shared" si="14"/>
        <v>130</v>
      </c>
      <c r="J35" s="278">
        <f t="shared" si="15"/>
        <v>7.8E-2</v>
      </c>
      <c r="K35" s="279">
        <v>46596</v>
      </c>
      <c r="L35" s="100">
        <v>3</v>
      </c>
      <c r="M35" s="101"/>
      <c r="N35" s="101">
        <v>390</v>
      </c>
      <c r="O35" s="267">
        <v>5000</v>
      </c>
      <c r="P35" s="268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342</v>
      </c>
      <c r="AS36" s="53" t="s">
        <v>333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7">
        <f>5000/3</f>
        <v>1666.6666666666667</v>
      </c>
      <c r="P37" s="268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343</v>
      </c>
      <c r="AS37">
        <v>0</v>
      </c>
      <c r="AT37" s="35"/>
    </row>
    <row r="38" spans="2:46" x14ac:dyDescent="0.25">
      <c r="B38" t="s">
        <v>344</v>
      </c>
      <c r="C38" s="174" t="s">
        <v>345</v>
      </c>
      <c r="D38" s="38" t="s">
        <v>194</v>
      </c>
      <c r="E38" s="218"/>
      <c r="F38" s="38" t="s">
        <v>346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7">
        <v>5000</v>
      </c>
      <c r="P38" s="268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347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7">
        <v>5000</v>
      </c>
      <c r="P39" s="268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348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3">
        <v>45342</v>
      </c>
      <c r="L40" s="100">
        <v>3</v>
      </c>
      <c r="M40" s="101"/>
      <c r="N40" s="101">
        <v>150</v>
      </c>
      <c r="O40" s="267">
        <v>3000</v>
      </c>
      <c r="P40" s="268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4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7">
        <v>3000</v>
      </c>
      <c r="P41" s="268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4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3">
        <v>45657</v>
      </c>
      <c r="L42" s="100">
        <v>3</v>
      </c>
      <c r="M42" s="101"/>
      <c r="N42" s="101">
        <v>200</v>
      </c>
      <c r="O42" s="267">
        <v>3000</v>
      </c>
      <c r="P42" s="268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349</v>
      </c>
      <c r="AS42">
        <v>0</v>
      </c>
      <c r="AT42" s="35"/>
    </row>
    <row r="43" spans="2:46" x14ac:dyDescent="0.25">
      <c r="B43" t="s">
        <v>350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7">
        <v>5000</v>
      </c>
      <c r="P43" s="268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4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8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351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8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352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3">
        <v>45261</v>
      </c>
      <c r="L46" s="100">
        <v>3</v>
      </c>
      <c r="M46" s="101"/>
      <c r="N46" s="101">
        <v>200</v>
      </c>
      <c r="O46" s="267">
        <v>3000</v>
      </c>
      <c r="P46" s="268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353</v>
      </c>
      <c r="AS46" s="53" t="s">
        <v>333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7">
        <v>6000</v>
      </c>
      <c r="P47" s="268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4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7">
        <v>5000</v>
      </c>
      <c r="P48" s="268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4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7">
        <v>5000</v>
      </c>
      <c r="P49" s="268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4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3">
        <v>45107</v>
      </c>
      <c r="L50" s="100">
        <v>1</v>
      </c>
      <c r="M50" s="101">
        <v>140</v>
      </c>
      <c r="N50" s="101">
        <v>0</v>
      </c>
      <c r="O50" s="267">
        <v>5000</v>
      </c>
      <c r="P50" s="268">
        <v>0.01</v>
      </c>
      <c r="Q50" s="276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4">
        <v>44942</v>
      </c>
      <c r="AR50" s="7" t="s">
        <v>354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3">
        <v>45458</v>
      </c>
      <c r="L51" s="100">
        <v>1</v>
      </c>
      <c r="M51" s="101">
        <v>120</v>
      </c>
      <c r="N51" s="101">
        <v>0</v>
      </c>
      <c r="O51" s="267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4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3">
        <v>45702</v>
      </c>
      <c r="L52" s="100">
        <v>3</v>
      </c>
      <c r="M52" s="101"/>
      <c r="N52" s="101">
        <v>240</v>
      </c>
      <c r="O52" s="267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4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3">
        <v>45413</v>
      </c>
      <c r="L53" s="100">
        <v>3</v>
      </c>
      <c r="M53" s="101"/>
      <c r="N53" s="101">
        <v>200</v>
      </c>
      <c r="O53" s="267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355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3">
        <v>45107</v>
      </c>
      <c r="L54" s="100">
        <v>3</v>
      </c>
      <c r="M54" s="101"/>
      <c r="N54" s="101">
        <v>200</v>
      </c>
      <c r="O54" s="267">
        <v>3000</v>
      </c>
      <c r="P54" s="268">
        <v>0.01</v>
      </c>
      <c r="Q54" s="276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356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357</v>
      </c>
      <c r="AS55" s="53" t="s">
        <v>358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359</v>
      </c>
      <c r="AS56" s="53" t="s">
        <v>358</v>
      </c>
    </row>
    <row r="57" spans="2:46" x14ac:dyDescent="0.25">
      <c r="E57" s="265"/>
      <c r="O57" s="280"/>
      <c r="P57" s="281"/>
      <c r="Q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</row>
    <row r="58" spans="2:46" x14ac:dyDescent="0.25">
      <c r="O58" s="280"/>
      <c r="P58" s="281"/>
      <c r="Q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</row>
    <row r="59" spans="2:46" x14ac:dyDescent="0.25">
      <c r="O59" s="280"/>
      <c r="P59" s="281"/>
      <c r="Q59" s="281"/>
      <c r="S59" s="281"/>
      <c r="T59" s="281"/>
      <c r="U59" s="281"/>
      <c r="V59" s="115"/>
      <c r="W59" s="246"/>
      <c r="X59" s="246"/>
      <c r="Y59" s="281"/>
      <c r="Z59" s="281"/>
      <c r="AA59" s="281"/>
      <c r="AB59" s="281"/>
    </row>
    <row r="60" spans="2:46" x14ac:dyDescent="0.25">
      <c r="B60" s="164" t="s">
        <v>360</v>
      </c>
      <c r="C60" s="53" t="s">
        <v>283</v>
      </c>
      <c r="D60" s="192" t="s">
        <v>194</v>
      </c>
      <c r="E60" s="270"/>
      <c r="F60" s="192" t="s">
        <v>284</v>
      </c>
      <c r="G60" s="282" t="s">
        <v>361</v>
      </c>
      <c r="H60" s="199">
        <v>44971</v>
      </c>
      <c r="I60" s="277">
        <f>IF(M60="",N60/L60,M60)</f>
        <v>230</v>
      </c>
      <c r="J60" s="278">
        <f>I60/(O60/L60)</f>
        <v>0.23</v>
      </c>
      <c r="K60" s="279">
        <v>46432</v>
      </c>
      <c r="L60" s="283">
        <v>1</v>
      </c>
      <c r="M60" s="271">
        <v>230</v>
      </c>
      <c r="N60" s="271"/>
      <c r="O60" s="272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4">
        <f>AF60*P60</f>
        <v>2.6883694937541094</v>
      </c>
      <c r="AI60" s="284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327</v>
      </c>
      <c r="C61" s="174" t="s">
        <v>283</v>
      </c>
      <c r="D61" s="38" t="s">
        <v>328</v>
      </c>
      <c r="G61" s="285" t="s">
        <v>362</v>
      </c>
      <c r="O61" s="280"/>
      <c r="P61" s="281"/>
      <c r="Q61" s="281"/>
      <c r="S61" s="281"/>
      <c r="T61" s="281"/>
      <c r="U61" s="281"/>
      <c r="V61" s="252">
        <v>45112</v>
      </c>
      <c r="W61" s="266">
        <v>17708</v>
      </c>
      <c r="X61" s="266">
        <v>4099</v>
      </c>
      <c r="Y61" s="281" t="s">
        <v>363</v>
      </c>
      <c r="Z61" s="281"/>
      <c r="AA61" s="281"/>
      <c r="AB61" s="281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0"/>
      <c r="P62" s="281"/>
      <c r="Q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dataConsolidate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7D12-E74E-4CFE-A2D0-F74FC5F16BEA}">
  <sheetPr codeName="Foglio41"/>
  <dimension ref="A1:AQ68"/>
  <sheetViews>
    <sheetView tabSelected="1" workbookViewId="0">
      <selection activeCell="L60" sqref="L60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43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43" x14ac:dyDescent="0.25">
      <c r="A2" s="176" t="s">
        <v>152</v>
      </c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43" x14ac:dyDescent="0.25">
      <c r="A3" s="214" t="s">
        <v>184</v>
      </c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43" x14ac:dyDescent="0.25">
      <c r="A4" s="7" t="s">
        <v>205</v>
      </c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43" x14ac:dyDescent="0.25">
      <c r="A5" s="214" t="s">
        <v>154</v>
      </c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43" x14ac:dyDescent="0.25">
      <c r="A6" s="214" t="s">
        <v>155</v>
      </c>
    </row>
    <row r="7" spans="1:43" x14ac:dyDescent="0.25">
      <c r="A7" s="214" t="s">
        <v>156</v>
      </c>
    </row>
    <row r="8" spans="1:43" x14ac:dyDescent="0.25">
      <c r="A8" s="214" t="s">
        <v>153</v>
      </c>
      <c r="W8" t="s">
        <v>158</v>
      </c>
      <c r="X8" t="s">
        <v>235</v>
      </c>
      <c r="Y8" s="286">
        <v>45180.289421296293</v>
      </c>
      <c r="Z8">
        <v>133729</v>
      </c>
      <c r="AA8">
        <v>19300</v>
      </c>
      <c r="AB8" s="287">
        <v>5</v>
      </c>
      <c r="AC8" s="287">
        <v>9</v>
      </c>
      <c r="AD8" s="287">
        <v>8</v>
      </c>
      <c r="AE8">
        <v>21</v>
      </c>
      <c r="AF8">
        <v>10</v>
      </c>
      <c r="AH8" t="s">
        <v>153</v>
      </c>
      <c r="AI8" t="s">
        <v>233</v>
      </c>
      <c r="AJ8" s="286">
        <v>45178.041967592595</v>
      </c>
      <c r="AK8">
        <v>29934</v>
      </c>
      <c r="AL8">
        <v>0</v>
      </c>
      <c r="AM8" s="287"/>
      <c r="AN8" s="287"/>
      <c r="AO8" s="287"/>
      <c r="AP8">
        <v>16</v>
      </c>
      <c r="AQ8">
        <v>8</v>
      </c>
    </row>
    <row r="9" spans="1:43" x14ac:dyDescent="0.25">
      <c r="A9" s="214" t="s">
        <v>157</v>
      </c>
      <c r="W9" t="s">
        <v>176</v>
      </c>
      <c r="X9" t="s">
        <v>236</v>
      </c>
      <c r="Y9" s="286">
        <v>45179.9608912037</v>
      </c>
      <c r="Z9">
        <v>31685</v>
      </c>
      <c r="AA9">
        <v>4749</v>
      </c>
      <c r="AB9">
        <v>68</v>
      </c>
      <c r="AC9">
        <v>69</v>
      </c>
      <c r="AD9">
        <v>64</v>
      </c>
      <c r="AE9">
        <v>30</v>
      </c>
      <c r="AF9">
        <v>11</v>
      </c>
      <c r="AH9" t="s">
        <v>157</v>
      </c>
      <c r="AI9" t="s">
        <v>234</v>
      </c>
      <c r="AJ9" s="286">
        <v>45184.384837962964</v>
      </c>
      <c r="AK9">
        <v>102367</v>
      </c>
      <c r="AL9">
        <v>33033</v>
      </c>
      <c r="AM9">
        <v>11</v>
      </c>
      <c r="AN9">
        <v>98</v>
      </c>
      <c r="AO9" s="287">
        <v>7</v>
      </c>
      <c r="AP9">
        <v>78</v>
      </c>
      <c r="AQ9">
        <v>9</v>
      </c>
    </row>
    <row r="10" spans="1:43" x14ac:dyDescent="0.25">
      <c r="A10" s="214" t="s">
        <v>158</v>
      </c>
    </row>
    <row r="11" spans="1:43" x14ac:dyDescent="0.25">
      <c r="A11" s="214" t="s">
        <v>176</v>
      </c>
    </row>
    <row r="12" spans="1:43" x14ac:dyDescent="0.25">
      <c r="A12" s="7" t="s">
        <v>203</v>
      </c>
      <c r="W12" t="s">
        <v>294</v>
      </c>
      <c r="X12" t="s">
        <v>293</v>
      </c>
      <c r="Y12" s="286">
        <v>45158.08556712963</v>
      </c>
      <c r="Z12">
        <v>11872</v>
      </c>
      <c r="AA12">
        <v>517</v>
      </c>
      <c r="AB12">
        <v>94</v>
      </c>
      <c r="AC12">
        <v>93</v>
      </c>
      <c r="AD12">
        <v>93</v>
      </c>
      <c r="AE12">
        <v>57</v>
      </c>
      <c r="AF12">
        <v>14</v>
      </c>
      <c r="AH12" t="s">
        <v>203</v>
      </c>
      <c r="AI12" t="s">
        <v>238</v>
      </c>
      <c r="AJ12" s="286">
        <v>45158.001863425925</v>
      </c>
      <c r="AK12">
        <v>42820</v>
      </c>
      <c r="AL12">
        <v>14846</v>
      </c>
      <c r="AM12">
        <v>38</v>
      </c>
      <c r="AN12">
        <v>40</v>
      </c>
      <c r="AO12">
        <v>35</v>
      </c>
      <c r="AP12">
        <v>72</v>
      </c>
      <c r="AQ12">
        <v>12</v>
      </c>
    </row>
    <row r="13" spans="1:43" x14ac:dyDescent="0.25">
      <c r="A13" s="7" t="s">
        <v>204</v>
      </c>
      <c r="W13" t="s">
        <v>160</v>
      </c>
      <c r="X13" t="s">
        <v>240</v>
      </c>
      <c r="Y13" s="286">
        <v>45181.375115740739</v>
      </c>
      <c r="Z13">
        <v>30045</v>
      </c>
      <c r="AA13">
        <v>18914</v>
      </c>
      <c r="AB13">
        <v>100</v>
      </c>
      <c r="AC13">
        <v>100</v>
      </c>
      <c r="AD13">
        <v>100</v>
      </c>
      <c r="AE13">
        <v>89</v>
      </c>
      <c r="AF13">
        <v>15</v>
      </c>
      <c r="AH13" t="s">
        <v>204</v>
      </c>
      <c r="AI13" t="s">
        <v>202</v>
      </c>
      <c r="AJ13" s="286">
        <v>45180.381712962961</v>
      </c>
      <c r="AK13">
        <v>128881</v>
      </c>
      <c r="AL13">
        <v>83552</v>
      </c>
      <c r="AM13">
        <v>59</v>
      </c>
      <c r="AN13">
        <v>41</v>
      </c>
      <c r="AO13" s="287">
        <v>5</v>
      </c>
      <c r="AP13">
        <v>21</v>
      </c>
      <c r="AQ13">
        <v>13</v>
      </c>
    </row>
    <row r="14" spans="1:43" x14ac:dyDescent="0.25">
      <c r="A14" s="7" t="s">
        <v>294</v>
      </c>
    </row>
    <row r="15" spans="1:43" x14ac:dyDescent="0.25">
      <c r="A15" s="214" t="s">
        <v>160</v>
      </c>
    </row>
    <row r="16" spans="1:43" x14ac:dyDescent="0.25">
      <c r="A16" s="214" t="s">
        <v>161</v>
      </c>
      <c r="W16" t="s">
        <v>162</v>
      </c>
      <c r="X16" t="s">
        <v>243</v>
      </c>
      <c r="Y16" s="286">
        <v>45181.627337962964</v>
      </c>
      <c r="Z16">
        <v>71511</v>
      </c>
      <c r="AA16">
        <v>5782</v>
      </c>
      <c r="AB16">
        <v>57</v>
      </c>
      <c r="AC16">
        <v>58</v>
      </c>
      <c r="AD16">
        <v>45</v>
      </c>
      <c r="AE16">
        <v>79</v>
      </c>
      <c r="AF16">
        <v>18</v>
      </c>
      <c r="AH16" t="s">
        <v>161</v>
      </c>
      <c r="AI16" t="s">
        <v>241</v>
      </c>
      <c r="AJ16" s="286">
        <v>45177.75267361111</v>
      </c>
      <c r="AK16">
        <v>38793</v>
      </c>
      <c r="AL16">
        <v>20891</v>
      </c>
      <c r="AM16" s="287">
        <v>5</v>
      </c>
      <c r="AN16" s="287">
        <v>10</v>
      </c>
      <c r="AO16" s="287">
        <v>5</v>
      </c>
      <c r="AP16">
        <v>59</v>
      </c>
      <c r="AQ16">
        <v>16</v>
      </c>
    </row>
    <row r="17" spans="1:43" x14ac:dyDescent="0.25">
      <c r="A17" s="214" t="s">
        <v>183</v>
      </c>
      <c r="W17" t="s">
        <v>317</v>
      </c>
      <c r="X17" t="s">
        <v>318</v>
      </c>
      <c r="Y17" s="286">
        <v>45158.085231481484</v>
      </c>
      <c r="Z17">
        <v>3742</v>
      </c>
      <c r="AA17">
        <v>424</v>
      </c>
      <c r="AB17">
        <v>96</v>
      </c>
      <c r="AC17">
        <v>94</v>
      </c>
      <c r="AD17">
        <v>95</v>
      </c>
      <c r="AE17">
        <v>83</v>
      </c>
      <c r="AF17">
        <v>19</v>
      </c>
      <c r="AH17" t="s">
        <v>183</v>
      </c>
      <c r="AI17" t="s">
        <v>242</v>
      </c>
      <c r="AJ17" s="286">
        <v>45161.687418981484</v>
      </c>
      <c r="AK17">
        <v>52646</v>
      </c>
      <c r="AL17">
        <v>0</v>
      </c>
      <c r="AM17" s="287"/>
      <c r="AN17" s="287"/>
      <c r="AO17" s="287"/>
      <c r="AP17" s="287">
        <v>5</v>
      </c>
      <c r="AQ17">
        <v>17</v>
      </c>
    </row>
    <row r="18" spans="1:43" x14ac:dyDescent="0.25">
      <c r="A18" s="214" t="s">
        <v>162</v>
      </c>
    </row>
    <row r="19" spans="1:43" x14ac:dyDescent="0.25">
      <c r="A19" s="7" t="s">
        <v>317</v>
      </c>
    </row>
    <row r="20" spans="1:43" x14ac:dyDescent="0.25">
      <c r="A20" s="214" t="s">
        <v>163</v>
      </c>
      <c r="W20" t="s">
        <v>165</v>
      </c>
      <c r="X20" t="s">
        <v>246</v>
      </c>
      <c r="Y20" s="286">
        <v>45170.043541666666</v>
      </c>
      <c r="Z20">
        <v>74960</v>
      </c>
      <c r="AA20">
        <v>35526</v>
      </c>
      <c r="AB20">
        <v>16</v>
      </c>
      <c r="AC20">
        <v>18</v>
      </c>
      <c r="AD20">
        <v>18</v>
      </c>
      <c r="AE20">
        <v>42</v>
      </c>
      <c r="AF20">
        <v>22</v>
      </c>
      <c r="AH20" t="s">
        <v>163</v>
      </c>
      <c r="AI20" t="s">
        <v>244</v>
      </c>
      <c r="AJ20" s="286">
        <v>45180.348263888889</v>
      </c>
      <c r="AK20">
        <v>44018</v>
      </c>
      <c r="AL20">
        <v>35869</v>
      </c>
      <c r="AM20">
        <v>87</v>
      </c>
      <c r="AN20">
        <v>67</v>
      </c>
      <c r="AO20">
        <v>72</v>
      </c>
      <c r="AP20">
        <v>95</v>
      </c>
      <c r="AQ20">
        <v>20</v>
      </c>
    </row>
    <row r="21" spans="1:43" x14ac:dyDescent="0.25">
      <c r="A21" s="214" t="s">
        <v>164</v>
      </c>
      <c r="W21" t="s">
        <v>177</v>
      </c>
      <c r="X21" t="s">
        <v>247</v>
      </c>
      <c r="Y21" s="286">
        <v>45170.547511574077</v>
      </c>
      <c r="Z21">
        <v>41979</v>
      </c>
      <c r="AA21">
        <v>13231</v>
      </c>
      <c r="AB21" s="287">
        <v>5</v>
      </c>
      <c r="AC21">
        <v>91</v>
      </c>
      <c r="AD21">
        <v>92</v>
      </c>
      <c r="AE21">
        <v>36</v>
      </c>
      <c r="AF21">
        <v>23</v>
      </c>
      <c r="AH21" t="s">
        <v>164</v>
      </c>
      <c r="AI21" t="s">
        <v>245</v>
      </c>
      <c r="AJ21" s="286">
        <v>45183.737303240741</v>
      </c>
      <c r="AK21">
        <v>47829</v>
      </c>
      <c r="AL21">
        <v>8657</v>
      </c>
      <c r="AM21">
        <v>12</v>
      </c>
      <c r="AN21">
        <v>22</v>
      </c>
      <c r="AO21" s="287">
        <v>5</v>
      </c>
      <c r="AP21" s="287">
        <v>6</v>
      </c>
      <c r="AQ21">
        <v>21</v>
      </c>
    </row>
    <row r="22" spans="1:43" x14ac:dyDescent="0.25">
      <c r="A22" s="214" t="s">
        <v>165</v>
      </c>
    </row>
    <row r="23" spans="1:43" x14ac:dyDescent="0.25">
      <c r="A23" s="214" t="s">
        <v>177</v>
      </c>
    </row>
    <row r="24" spans="1:43" x14ac:dyDescent="0.25">
      <c r="A24" s="214" t="s">
        <v>288</v>
      </c>
    </row>
    <row r="25" spans="1:43" x14ac:dyDescent="0.25">
      <c r="A25" s="7" t="s">
        <v>327</v>
      </c>
      <c r="W25" t="s">
        <v>168</v>
      </c>
      <c r="X25" t="s">
        <v>252</v>
      </c>
      <c r="Y25" s="286">
        <v>45170.045428240737</v>
      </c>
      <c r="Z25">
        <v>123085</v>
      </c>
      <c r="AA25">
        <v>88134</v>
      </c>
      <c r="AB25">
        <v>35</v>
      </c>
      <c r="AC25">
        <v>48</v>
      </c>
      <c r="AD25">
        <v>32</v>
      </c>
      <c r="AE25">
        <v>23</v>
      </c>
      <c r="AF25">
        <v>30</v>
      </c>
      <c r="AH25" t="s">
        <v>327</v>
      </c>
      <c r="AI25" t="s">
        <v>329</v>
      </c>
      <c r="AJ25" s="286">
        <v>45158.085185185184</v>
      </c>
      <c r="AK25">
        <v>19053</v>
      </c>
      <c r="AL25">
        <v>5479</v>
      </c>
      <c r="AM25">
        <v>29</v>
      </c>
      <c r="AN25">
        <v>33</v>
      </c>
      <c r="AO25">
        <v>34</v>
      </c>
      <c r="AP25">
        <v>52</v>
      </c>
      <c r="AQ25">
        <v>25</v>
      </c>
    </row>
    <row r="26" spans="1:43" x14ac:dyDescent="0.25">
      <c r="A26" s="7" t="s">
        <v>209</v>
      </c>
      <c r="W26" t="s">
        <v>193</v>
      </c>
      <c r="X26" t="s">
        <v>195</v>
      </c>
      <c r="Y26" s="286">
        <v>45170.084745370368</v>
      </c>
      <c r="Z26">
        <v>16081</v>
      </c>
      <c r="AA26">
        <v>9796</v>
      </c>
      <c r="AB26">
        <v>64</v>
      </c>
      <c r="AC26">
        <v>61</v>
      </c>
      <c r="AD26">
        <v>57</v>
      </c>
      <c r="AE26">
        <v>89</v>
      </c>
      <c r="AF26">
        <v>31</v>
      </c>
      <c r="AH26" t="s">
        <v>209</v>
      </c>
      <c r="AI26" t="s">
        <v>248</v>
      </c>
      <c r="AJ26" s="286">
        <v>45158.00240740741</v>
      </c>
      <c r="AK26">
        <v>18831</v>
      </c>
      <c r="AL26">
        <v>2207</v>
      </c>
      <c r="AM26">
        <v>86</v>
      </c>
      <c r="AN26">
        <v>85</v>
      </c>
      <c r="AO26">
        <v>84</v>
      </c>
      <c r="AP26">
        <v>13</v>
      </c>
      <c r="AQ26">
        <v>26</v>
      </c>
    </row>
    <row r="27" spans="1:43" x14ac:dyDescent="0.25">
      <c r="A27" s="214" t="s">
        <v>166</v>
      </c>
      <c r="W27" t="s">
        <v>251</v>
      </c>
      <c r="X27" t="s">
        <v>214</v>
      </c>
      <c r="Y27" s="286">
        <v>45158.001701388886</v>
      </c>
      <c r="Z27">
        <v>40797</v>
      </c>
      <c r="AA27">
        <v>5020</v>
      </c>
      <c r="AB27">
        <v>81</v>
      </c>
      <c r="AC27">
        <v>79</v>
      </c>
      <c r="AD27">
        <v>79</v>
      </c>
      <c r="AE27">
        <v>80</v>
      </c>
      <c r="AF27">
        <v>32</v>
      </c>
      <c r="AH27" t="s">
        <v>166</v>
      </c>
      <c r="AI27" t="s">
        <v>249</v>
      </c>
      <c r="AJ27" s="286">
        <v>45181.690046296295</v>
      </c>
      <c r="AK27">
        <v>46176</v>
      </c>
      <c r="AL27">
        <v>49285</v>
      </c>
      <c r="AM27">
        <v>19</v>
      </c>
      <c r="AN27" s="287">
        <v>5</v>
      </c>
      <c r="AO27" s="287">
        <v>5</v>
      </c>
      <c r="AP27">
        <v>71</v>
      </c>
      <c r="AQ27">
        <v>27</v>
      </c>
    </row>
    <row r="28" spans="1:43" x14ac:dyDescent="0.25">
      <c r="A28" s="214" t="s">
        <v>159</v>
      </c>
    </row>
    <row r="29" spans="1:43" x14ac:dyDescent="0.25">
      <c r="A29" s="96"/>
    </row>
    <row r="30" spans="1:43" x14ac:dyDescent="0.25">
      <c r="A30" s="7" t="s">
        <v>168</v>
      </c>
    </row>
    <row r="31" spans="1:43" x14ac:dyDescent="0.25">
      <c r="A31" s="7" t="s">
        <v>193</v>
      </c>
    </row>
    <row r="32" spans="1:43" x14ac:dyDescent="0.25">
      <c r="A32" s="7" t="s">
        <v>251</v>
      </c>
    </row>
    <row r="33" spans="1:43" x14ac:dyDescent="0.25">
      <c r="A33" s="7" t="s">
        <v>221</v>
      </c>
      <c r="W33" t="s">
        <v>344</v>
      </c>
      <c r="X33" t="s">
        <v>346</v>
      </c>
      <c r="Y33" s="286">
        <v>45158.085219907407</v>
      </c>
      <c r="Z33">
        <v>1044</v>
      </c>
      <c r="AA33">
        <v>407</v>
      </c>
      <c r="AB33">
        <v>95</v>
      </c>
      <c r="AC33">
        <v>95</v>
      </c>
      <c r="AD33">
        <v>96</v>
      </c>
      <c r="AE33">
        <v>93</v>
      </c>
      <c r="AF33">
        <v>38</v>
      </c>
      <c r="AH33" t="s">
        <v>221</v>
      </c>
      <c r="AI33" t="s">
        <v>219</v>
      </c>
      <c r="AJ33" s="286">
        <v>45158.002233796295</v>
      </c>
      <c r="AK33">
        <v>5755</v>
      </c>
      <c r="AL33">
        <v>4462</v>
      </c>
      <c r="AM33">
        <v>81</v>
      </c>
      <c r="AN33">
        <v>81</v>
      </c>
      <c r="AO33">
        <v>77</v>
      </c>
      <c r="AP33">
        <v>54</v>
      </c>
      <c r="AQ33">
        <v>33</v>
      </c>
    </row>
    <row r="34" spans="1:43" x14ac:dyDescent="0.25">
      <c r="A34" s="7" t="s">
        <v>167</v>
      </c>
      <c r="W34" t="s">
        <v>289</v>
      </c>
      <c r="X34" t="s">
        <v>290</v>
      </c>
      <c r="Y34" s="286">
        <v>45158.001701388886</v>
      </c>
      <c r="Z34">
        <v>4540</v>
      </c>
      <c r="AA34">
        <v>724</v>
      </c>
      <c r="AB34">
        <v>95</v>
      </c>
      <c r="AC34">
        <v>94</v>
      </c>
      <c r="AD34">
        <v>95</v>
      </c>
      <c r="AE34">
        <v>82</v>
      </c>
      <c r="AF34">
        <v>39</v>
      </c>
      <c r="AH34" t="s">
        <v>167</v>
      </c>
      <c r="AI34" t="s">
        <v>217</v>
      </c>
      <c r="AJ34" s="286">
        <v>45174.720532407409</v>
      </c>
      <c r="AK34">
        <v>182578</v>
      </c>
      <c r="AL34">
        <v>17622</v>
      </c>
      <c r="AM34">
        <v>72</v>
      </c>
      <c r="AN34">
        <v>77</v>
      </c>
      <c r="AO34">
        <v>66</v>
      </c>
      <c r="AP34">
        <v>17</v>
      </c>
      <c r="AQ34">
        <v>34</v>
      </c>
    </row>
    <row r="35" spans="1:43" x14ac:dyDescent="0.25">
      <c r="A35" s="7" t="s">
        <v>167</v>
      </c>
      <c r="W35" t="s">
        <v>169</v>
      </c>
      <c r="X35" t="s">
        <v>256</v>
      </c>
      <c r="Y35" s="286">
        <v>45183.722592592596</v>
      </c>
      <c r="Z35">
        <v>69447</v>
      </c>
      <c r="AA35">
        <v>45063</v>
      </c>
      <c r="AB35">
        <v>40</v>
      </c>
      <c r="AC35">
        <v>48</v>
      </c>
      <c r="AD35">
        <v>62</v>
      </c>
      <c r="AE35">
        <v>24</v>
      </c>
      <c r="AF35">
        <v>42</v>
      </c>
      <c r="AH35" t="s">
        <v>167</v>
      </c>
      <c r="AI35" t="s">
        <v>340</v>
      </c>
      <c r="AJ35" s="286">
        <v>45135.376331018517</v>
      </c>
      <c r="AK35">
        <v>0</v>
      </c>
      <c r="AL35">
        <v>0</v>
      </c>
      <c r="AM35">
        <v>98</v>
      </c>
      <c r="AN35">
        <v>97</v>
      </c>
      <c r="AO35">
        <v>97</v>
      </c>
      <c r="AP35">
        <v>97</v>
      </c>
      <c r="AQ35">
        <v>35</v>
      </c>
    </row>
    <row r="36" spans="1:43" x14ac:dyDescent="0.25">
      <c r="A36" s="7" t="s">
        <v>185</v>
      </c>
      <c r="W36" t="s">
        <v>350</v>
      </c>
      <c r="X36" t="s">
        <v>286</v>
      </c>
      <c r="Y36" s="286">
        <v>45158.043321759258</v>
      </c>
      <c r="Z36">
        <v>6633</v>
      </c>
      <c r="AA36">
        <v>1452</v>
      </c>
      <c r="AB36">
        <v>91</v>
      </c>
      <c r="AC36">
        <v>90</v>
      </c>
      <c r="AD36">
        <v>90</v>
      </c>
      <c r="AE36">
        <v>70</v>
      </c>
      <c r="AF36">
        <v>43</v>
      </c>
      <c r="AH36" t="s">
        <v>185</v>
      </c>
      <c r="AI36" t="s">
        <v>253</v>
      </c>
      <c r="AJ36" s="286">
        <v>45170.358252314814</v>
      </c>
      <c r="AK36">
        <v>21796</v>
      </c>
      <c r="AL36">
        <v>4527</v>
      </c>
      <c r="AM36">
        <v>39</v>
      </c>
      <c r="AN36">
        <v>42</v>
      </c>
      <c r="AO36">
        <v>26</v>
      </c>
      <c r="AP36">
        <v>30</v>
      </c>
      <c r="AQ36">
        <v>36</v>
      </c>
    </row>
    <row r="37" spans="1:43" x14ac:dyDescent="0.25">
      <c r="A37" s="7" t="s">
        <v>201</v>
      </c>
      <c r="W37" t="s">
        <v>282</v>
      </c>
      <c r="X37" t="s">
        <v>189</v>
      </c>
      <c r="Y37" s="286">
        <v>45173.484201388892</v>
      </c>
      <c r="Z37">
        <v>85821</v>
      </c>
      <c r="AA37">
        <v>12834</v>
      </c>
      <c r="AB37">
        <v>30</v>
      </c>
      <c r="AC37">
        <v>19</v>
      </c>
      <c r="AD37">
        <v>16</v>
      </c>
      <c r="AE37">
        <v>70</v>
      </c>
      <c r="AF37">
        <v>44</v>
      </c>
      <c r="AH37" t="s">
        <v>201</v>
      </c>
      <c r="AI37" t="s">
        <v>197</v>
      </c>
      <c r="AJ37" s="286">
        <v>45170.001875000002</v>
      </c>
      <c r="AK37">
        <v>56258</v>
      </c>
      <c r="AL37">
        <v>3918</v>
      </c>
      <c r="AM37">
        <v>83</v>
      </c>
      <c r="AN37">
        <v>82</v>
      </c>
      <c r="AO37">
        <v>79</v>
      </c>
      <c r="AP37">
        <v>62</v>
      </c>
      <c r="AQ37">
        <v>37</v>
      </c>
    </row>
    <row r="38" spans="1:43" x14ac:dyDescent="0.25">
      <c r="A38" t="s">
        <v>344</v>
      </c>
    </row>
    <row r="39" spans="1:43" x14ac:dyDescent="0.25">
      <c r="A39" s="7" t="s">
        <v>289</v>
      </c>
    </row>
    <row r="40" spans="1:43" x14ac:dyDescent="0.25">
      <c r="A40" s="97"/>
    </row>
    <row r="41" spans="1:43" x14ac:dyDescent="0.25">
      <c r="A41" s="96"/>
    </row>
    <row r="42" spans="1:43" x14ac:dyDescent="0.25">
      <c r="A42" s="7" t="s">
        <v>169</v>
      </c>
    </row>
    <row r="43" spans="1:43" x14ac:dyDescent="0.25">
      <c r="A43" t="s">
        <v>350</v>
      </c>
    </row>
    <row r="44" spans="1:43" x14ac:dyDescent="0.25">
      <c r="A44" s="7" t="s">
        <v>282</v>
      </c>
    </row>
    <row r="45" spans="1:43" x14ac:dyDescent="0.25">
      <c r="A45" s="7" t="s">
        <v>282</v>
      </c>
      <c r="W45" t="s">
        <v>172</v>
      </c>
      <c r="X45" t="s">
        <v>264</v>
      </c>
      <c r="Y45" s="286">
        <v>45170.043773148151</v>
      </c>
      <c r="Z45">
        <v>171304</v>
      </c>
      <c r="AA45">
        <v>0</v>
      </c>
      <c r="AB45" s="287"/>
      <c r="AC45" s="287"/>
      <c r="AD45" s="287"/>
      <c r="AE45" s="287">
        <v>6</v>
      </c>
      <c r="AF45">
        <v>52</v>
      </c>
      <c r="AH45" t="s">
        <v>282</v>
      </c>
      <c r="AI45" t="s">
        <v>190</v>
      </c>
      <c r="AJ45" s="286">
        <v>45182.674131944441</v>
      </c>
      <c r="AK45">
        <v>50056</v>
      </c>
      <c r="AL45">
        <v>8563</v>
      </c>
      <c r="AM45">
        <v>70</v>
      </c>
      <c r="AN45">
        <v>71</v>
      </c>
      <c r="AO45">
        <v>68</v>
      </c>
      <c r="AP45" s="287">
        <v>7</v>
      </c>
      <c r="AQ45">
        <v>45</v>
      </c>
    </row>
    <row r="46" spans="1:43" x14ac:dyDescent="0.25">
      <c r="A46" s="7" t="s">
        <v>170</v>
      </c>
      <c r="W46" t="s">
        <v>173</v>
      </c>
      <c r="X46" t="s">
        <v>265</v>
      </c>
      <c r="Y46" s="286">
        <v>45182.731435185182</v>
      </c>
      <c r="Z46">
        <v>41022</v>
      </c>
      <c r="AA46">
        <v>6348</v>
      </c>
      <c r="AB46">
        <v>15</v>
      </c>
      <c r="AC46">
        <v>13</v>
      </c>
      <c r="AD46" s="287">
        <v>5</v>
      </c>
      <c r="AE46">
        <v>99</v>
      </c>
      <c r="AF46">
        <v>53</v>
      </c>
      <c r="AH46" t="s">
        <v>170</v>
      </c>
      <c r="AI46" t="s">
        <v>257</v>
      </c>
      <c r="AJ46" s="286">
        <v>45184.363715277781</v>
      </c>
      <c r="AK46">
        <v>121941</v>
      </c>
      <c r="AL46">
        <v>32248</v>
      </c>
      <c r="AM46">
        <v>45</v>
      </c>
      <c r="AN46">
        <v>51</v>
      </c>
      <c r="AO46">
        <v>40</v>
      </c>
      <c r="AP46">
        <v>69</v>
      </c>
      <c r="AQ46">
        <v>46</v>
      </c>
    </row>
    <row r="47" spans="1:43" x14ac:dyDescent="0.25">
      <c r="A47" s="7" t="s">
        <v>171</v>
      </c>
      <c r="W47" t="s">
        <v>174</v>
      </c>
      <c r="X47" t="s">
        <v>266</v>
      </c>
      <c r="Y47" s="286">
        <v>45180.374259259261</v>
      </c>
      <c r="Z47">
        <v>105165</v>
      </c>
      <c r="AA47">
        <v>45032</v>
      </c>
      <c r="AB47">
        <v>87</v>
      </c>
      <c r="AC47">
        <v>32</v>
      </c>
      <c r="AD47">
        <v>92</v>
      </c>
      <c r="AE47">
        <v>64</v>
      </c>
      <c r="AF47">
        <v>54</v>
      </c>
      <c r="AH47" t="s">
        <v>171</v>
      </c>
      <c r="AI47" t="s">
        <v>258</v>
      </c>
      <c r="AJ47" s="286">
        <v>45158.001828703702</v>
      </c>
      <c r="AK47">
        <v>69214</v>
      </c>
      <c r="AL47">
        <v>0</v>
      </c>
      <c r="AM47" s="287"/>
      <c r="AN47" s="287"/>
      <c r="AO47" s="287"/>
      <c r="AP47">
        <v>55</v>
      </c>
      <c r="AQ47">
        <v>47</v>
      </c>
    </row>
    <row r="48" spans="1:43" x14ac:dyDescent="0.25">
      <c r="A48" s="7" t="s">
        <v>171</v>
      </c>
      <c r="W48" t="s">
        <v>175</v>
      </c>
      <c r="X48" t="s">
        <v>143</v>
      </c>
      <c r="Y48" s="286">
        <v>45169.996053240742</v>
      </c>
      <c r="Z48">
        <v>202696</v>
      </c>
      <c r="AA48">
        <v>0</v>
      </c>
      <c r="AB48" s="287"/>
      <c r="AC48" s="287"/>
      <c r="AD48" s="287"/>
      <c r="AE48">
        <v>97</v>
      </c>
      <c r="AF48">
        <v>55</v>
      </c>
      <c r="AH48" t="s">
        <v>171</v>
      </c>
      <c r="AI48" t="s">
        <v>237</v>
      </c>
      <c r="AJ48" s="286">
        <v>45183.398680555554</v>
      </c>
      <c r="AK48">
        <v>25127</v>
      </c>
      <c r="AL48">
        <v>4124</v>
      </c>
      <c r="AM48">
        <v>81</v>
      </c>
      <c r="AN48">
        <v>81</v>
      </c>
      <c r="AO48">
        <v>82</v>
      </c>
      <c r="AP48">
        <v>100</v>
      </c>
      <c r="AQ48">
        <v>48</v>
      </c>
    </row>
    <row r="49" spans="1:43" x14ac:dyDescent="0.25">
      <c r="A49" s="7" t="s">
        <v>171</v>
      </c>
      <c r="W49" t="s">
        <v>175</v>
      </c>
      <c r="X49" t="s">
        <v>142</v>
      </c>
      <c r="Y49" s="286">
        <v>45169.999027777776</v>
      </c>
      <c r="Z49">
        <v>194717</v>
      </c>
      <c r="AA49">
        <v>0</v>
      </c>
      <c r="AB49" s="287"/>
      <c r="AC49" s="287"/>
      <c r="AD49" s="287"/>
      <c r="AE49">
        <v>60</v>
      </c>
      <c r="AF49">
        <v>56</v>
      </c>
      <c r="AH49" t="s">
        <v>171</v>
      </c>
      <c r="AI49" t="s">
        <v>260</v>
      </c>
      <c r="AJ49" s="286">
        <v>45158.601550925923</v>
      </c>
      <c r="AK49">
        <v>17882</v>
      </c>
      <c r="AL49">
        <v>11680</v>
      </c>
      <c r="AM49">
        <v>48</v>
      </c>
      <c r="AN49">
        <v>47</v>
      </c>
      <c r="AO49">
        <v>40</v>
      </c>
      <c r="AP49">
        <v>72</v>
      </c>
      <c r="AQ49">
        <v>49</v>
      </c>
    </row>
    <row r="50" spans="1:43" x14ac:dyDescent="0.25">
      <c r="A50" s="7" t="s">
        <v>171</v>
      </c>
      <c r="W50" t="s">
        <v>360</v>
      </c>
      <c r="X50" t="s">
        <v>284</v>
      </c>
      <c r="Y50" s="286">
        <v>45097.04351851852</v>
      </c>
      <c r="Z50">
        <v>11889</v>
      </c>
      <c r="AA50">
        <v>15160</v>
      </c>
      <c r="AB50">
        <v>28</v>
      </c>
      <c r="AC50">
        <v>21</v>
      </c>
      <c r="AD50">
        <v>30</v>
      </c>
      <c r="AE50">
        <v>21</v>
      </c>
      <c r="AF50">
        <v>60</v>
      </c>
      <c r="AH50" t="s">
        <v>171</v>
      </c>
      <c r="AI50" t="s">
        <v>259</v>
      </c>
      <c r="AJ50" s="286">
        <v>45183.388460648152</v>
      </c>
      <c r="AK50">
        <v>412379</v>
      </c>
      <c r="AL50">
        <v>21997</v>
      </c>
      <c r="AM50">
        <v>96</v>
      </c>
      <c r="AN50">
        <v>93</v>
      </c>
      <c r="AO50">
        <v>95</v>
      </c>
      <c r="AP50">
        <v>69</v>
      </c>
      <c r="AQ50">
        <v>50</v>
      </c>
    </row>
    <row r="51" spans="1:43" x14ac:dyDescent="0.25">
      <c r="A51" s="7" t="s">
        <v>178</v>
      </c>
      <c r="W51" t="s">
        <v>383</v>
      </c>
      <c r="Y51" s="286">
        <v>45187.814629629633</v>
      </c>
      <c r="Z51" t="s">
        <v>382</v>
      </c>
      <c r="AA51">
        <v>0</v>
      </c>
      <c r="AB51" s="287"/>
      <c r="AC51" s="287"/>
      <c r="AD51" s="287"/>
      <c r="AE51" t="s">
        <v>382</v>
      </c>
      <c r="AF51" t="s">
        <v>42</v>
      </c>
      <c r="AH51" t="s">
        <v>178</v>
      </c>
      <c r="AI51" t="s">
        <v>262</v>
      </c>
      <c r="AJ51" s="286">
        <v>45170.043993055559</v>
      </c>
      <c r="AK51">
        <v>183560</v>
      </c>
      <c r="AL51">
        <v>0</v>
      </c>
      <c r="AM51" s="287"/>
      <c r="AN51" s="287"/>
      <c r="AO51" s="287"/>
      <c r="AP51">
        <v>16</v>
      </c>
      <c r="AQ51">
        <v>51</v>
      </c>
    </row>
    <row r="52" spans="1:43" x14ac:dyDescent="0.25">
      <c r="A52" s="7" t="s">
        <v>172</v>
      </c>
    </row>
    <row r="53" spans="1:43" x14ac:dyDescent="0.25">
      <c r="A53" s="7" t="s">
        <v>173</v>
      </c>
    </row>
    <row r="54" spans="1:43" x14ac:dyDescent="0.25">
      <c r="A54" s="7" t="s">
        <v>174</v>
      </c>
    </row>
    <row r="55" spans="1:43" x14ac:dyDescent="0.25">
      <c r="A55" s="7" t="s">
        <v>175</v>
      </c>
    </row>
    <row r="56" spans="1:43" x14ac:dyDescent="0.25">
      <c r="A56" s="7" t="s">
        <v>175</v>
      </c>
    </row>
    <row r="60" spans="1:43" x14ac:dyDescent="0.25">
      <c r="A60" s="164" t="s">
        <v>360</v>
      </c>
    </row>
    <row r="61" spans="1:43" x14ac:dyDescent="0.25">
      <c r="A61" s="7" t="s">
        <v>327</v>
      </c>
    </row>
    <row r="63" spans="1:43" x14ac:dyDescent="0.25">
      <c r="L63" t="s">
        <v>288</v>
      </c>
      <c r="M63">
        <v>1382800465</v>
      </c>
      <c r="N63" s="286">
        <v>45184.407766203702</v>
      </c>
      <c r="O63">
        <v>241487</v>
      </c>
      <c r="P63">
        <v>0</v>
      </c>
      <c r="Q63" s="287"/>
      <c r="R63" s="287"/>
      <c r="S63" s="287"/>
      <c r="T63" s="287">
        <v>10</v>
      </c>
      <c r="U63" t="s">
        <v>42</v>
      </c>
    </row>
    <row r="64" spans="1:43" x14ac:dyDescent="0.25">
      <c r="L64" t="s">
        <v>384</v>
      </c>
      <c r="N64" s="286">
        <v>45183.855104166665</v>
      </c>
      <c r="O64" t="s">
        <v>382</v>
      </c>
      <c r="P64">
        <v>0</v>
      </c>
      <c r="Q64" s="287"/>
      <c r="R64" s="287"/>
      <c r="S64" s="287"/>
      <c r="T64" t="s">
        <v>382</v>
      </c>
      <c r="U64" t="s">
        <v>42</v>
      </c>
    </row>
    <row r="65" spans="12:21" x14ac:dyDescent="0.25">
      <c r="L65" t="s">
        <v>378</v>
      </c>
      <c r="M65" t="s">
        <v>379</v>
      </c>
      <c r="N65" s="286">
        <v>45104.693530092591</v>
      </c>
      <c r="O65">
        <v>83528</v>
      </c>
      <c r="P65">
        <v>0</v>
      </c>
      <c r="Q65" s="287"/>
      <c r="R65" s="287"/>
      <c r="S65" s="287"/>
      <c r="T65">
        <v>41</v>
      </c>
      <c r="U65" t="s">
        <v>42</v>
      </c>
    </row>
    <row r="66" spans="12:21" x14ac:dyDescent="0.25">
      <c r="L66" t="s">
        <v>374</v>
      </c>
      <c r="M66" t="s">
        <v>375</v>
      </c>
      <c r="N66" s="286">
        <v>45103.28125</v>
      </c>
      <c r="O66">
        <v>238436</v>
      </c>
      <c r="P66">
        <v>40230</v>
      </c>
      <c r="Q66">
        <v>30</v>
      </c>
      <c r="R66">
        <v>43</v>
      </c>
      <c r="S66">
        <v>14</v>
      </c>
      <c r="T66">
        <v>74</v>
      </c>
      <c r="U66" t="s">
        <v>42</v>
      </c>
    </row>
    <row r="67" spans="12:21" x14ac:dyDescent="0.25">
      <c r="L67" t="s">
        <v>380</v>
      </c>
      <c r="M67" t="s">
        <v>381</v>
      </c>
      <c r="N67" s="286">
        <v>45095.291724537034</v>
      </c>
      <c r="O67">
        <v>53099</v>
      </c>
      <c r="P67">
        <v>0</v>
      </c>
      <c r="Q67" s="287"/>
      <c r="R67" s="287"/>
      <c r="S67" s="287"/>
      <c r="T67">
        <v>72</v>
      </c>
      <c r="U67" t="s">
        <v>42</v>
      </c>
    </row>
    <row r="68" spans="12:21" x14ac:dyDescent="0.25">
      <c r="L68" t="s">
        <v>376</v>
      </c>
      <c r="M68" t="s">
        <v>377</v>
      </c>
      <c r="N68" s="286">
        <v>45078.317569444444</v>
      </c>
      <c r="O68">
        <v>40580</v>
      </c>
      <c r="P68">
        <v>22413</v>
      </c>
      <c r="Q68">
        <v>61</v>
      </c>
      <c r="R68">
        <v>76</v>
      </c>
      <c r="S68">
        <v>30</v>
      </c>
      <c r="T68">
        <v>63</v>
      </c>
      <c r="U68" t="s">
        <v>42</v>
      </c>
    </row>
  </sheetData>
  <sortState xmlns:xlrd2="http://schemas.microsoft.com/office/spreadsheetml/2017/richdata2" ref="A2:J57">
    <sortCondition ref="J1:J5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526BE-3BEE-4DF1-BB31-F049B0A844C6}">
  <sheetPr codeName="Foglio40"/>
  <dimension ref="A1:J1"/>
  <sheetViews>
    <sheetView workbookViewId="0">
      <selection activeCell="K8" sqref="K8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53290-22F9-4AF9-8552-E866D3AF31E2}">
  <sheetPr codeName="Foglio39"/>
  <dimension ref="A1:J1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C6" s="286">
        <v>45188.652488425927</v>
      </c>
      <c r="D6" t="s">
        <v>382</v>
      </c>
      <c r="E6">
        <v>0</v>
      </c>
      <c r="F6" s="287"/>
      <c r="G6" s="287"/>
      <c r="H6" s="287"/>
      <c r="I6" t="s">
        <v>382</v>
      </c>
      <c r="J6" t="s">
        <v>42</v>
      </c>
    </row>
    <row r="7" spans="1:10" x14ac:dyDescent="0.25">
      <c r="A7" t="s">
        <v>158</v>
      </c>
      <c r="B7" t="s">
        <v>235</v>
      </c>
      <c r="C7" s="286">
        <v>45180.289421296293</v>
      </c>
      <c r="D7">
        <v>133729</v>
      </c>
      <c r="E7">
        <v>19300</v>
      </c>
      <c r="F7" s="287">
        <v>5</v>
      </c>
      <c r="G7" s="287">
        <v>9</v>
      </c>
      <c r="H7" s="287">
        <v>8</v>
      </c>
      <c r="I7">
        <v>21</v>
      </c>
      <c r="J7">
        <v>10</v>
      </c>
    </row>
    <row r="8" spans="1:10" x14ac:dyDescent="0.25">
      <c r="A8" t="s">
        <v>158</v>
      </c>
      <c r="B8" t="s">
        <v>235</v>
      </c>
      <c r="C8" s="286">
        <v>45173.726759259262</v>
      </c>
      <c r="D8">
        <v>133513</v>
      </c>
      <c r="E8">
        <v>19300</v>
      </c>
      <c r="F8" s="287">
        <v>5</v>
      </c>
      <c r="G8" s="287">
        <v>9</v>
      </c>
      <c r="H8" s="287">
        <v>8</v>
      </c>
      <c r="I8">
        <v>22</v>
      </c>
      <c r="J8">
        <v>10</v>
      </c>
    </row>
    <row r="9" spans="1:10" x14ac:dyDescent="0.25">
      <c r="A9" t="s">
        <v>158</v>
      </c>
      <c r="B9" t="s">
        <v>235</v>
      </c>
      <c r="C9" s="286">
        <v>45173.289976851855</v>
      </c>
      <c r="D9">
        <v>133368</v>
      </c>
      <c r="E9">
        <v>19300</v>
      </c>
      <c r="F9" s="287">
        <v>5</v>
      </c>
      <c r="G9" s="287">
        <v>9</v>
      </c>
      <c r="H9" s="287">
        <v>8</v>
      </c>
      <c r="I9">
        <v>23</v>
      </c>
      <c r="J9">
        <v>10</v>
      </c>
    </row>
    <row r="10" spans="1:10" x14ac:dyDescent="0.25">
      <c r="A10" t="s">
        <v>158</v>
      </c>
      <c r="B10" t="s">
        <v>235</v>
      </c>
      <c r="C10" s="286">
        <v>45166.644953703704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DD1F-3572-4743-B888-01C6E06DB3C0}">
  <sheetPr codeName="Foglio38"/>
  <dimension ref="A1:J2"/>
  <sheetViews>
    <sheetView workbookViewId="0">
      <selection activeCell="J9" sqref="J9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163</v>
      </c>
      <c r="B2" t="s">
        <v>244</v>
      </c>
      <c r="C2" s="286">
        <v>45122.345775462964</v>
      </c>
      <c r="D2">
        <v>42880</v>
      </c>
      <c r="E2">
        <v>35325</v>
      </c>
      <c r="F2">
        <v>91</v>
      </c>
      <c r="G2">
        <v>71</v>
      </c>
      <c r="H2">
        <v>77</v>
      </c>
      <c r="I2" s="287">
        <v>5</v>
      </c>
      <c r="J2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8F84B-A9E3-470E-B748-88CB47C3D985}">
  <sheetPr codeName="Foglio37"/>
  <dimension ref="A1:J6"/>
  <sheetViews>
    <sheetView workbookViewId="0">
      <selection activeCell="L12" sqref="L12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B6" t="s">
        <v>246</v>
      </c>
      <c r="C6" s="286">
        <v>45188.652488425927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14B11-AD8C-4AA9-B984-9AFF3B118DA3}">
  <sheetPr codeName="Foglio36"/>
  <dimension ref="A1:J6"/>
  <sheetViews>
    <sheetView workbookViewId="0">
      <selection activeCell="H15" sqref="H15"/>
    </sheetView>
  </sheetViews>
  <sheetFormatPr defaultRowHeight="15" x14ac:dyDescent="0.25"/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165</v>
      </c>
      <c r="B2" t="s">
        <v>246</v>
      </c>
      <c r="C2" s="286">
        <v>45170.043553240743</v>
      </c>
      <c r="D2">
        <v>74960</v>
      </c>
      <c r="E2">
        <v>35526</v>
      </c>
      <c r="F2">
        <v>16</v>
      </c>
      <c r="G2">
        <v>18</v>
      </c>
      <c r="H2">
        <v>18</v>
      </c>
      <c r="I2">
        <v>42</v>
      </c>
      <c r="J2">
        <v>22</v>
      </c>
    </row>
    <row r="3" spans="1:10" x14ac:dyDescent="0.25">
      <c r="A3" t="s">
        <v>165</v>
      </c>
      <c r="B3" t="s">
        <v>246</v>
      </c>
      <c r="C3" s="286">
        <v>45139.043356481481</v>
      </c>
      <c r="D3">
        <v>73752</v>
      </c>
      <c r="E3">
        <v>35089</v>
      </c>
      <c r="F3">
        <v>19</v>
      </c>
      <c r="G3">
        <v>21</v>
      </c>
      <c r="H3">
        <v>23</v>
      </c>
      <c r="I3">
        <v>50</v>
      </c>
      <c r="J3">
        <v>22</v>
      </c>
    </row>
    <row r="4" spans="1:10" x14ac:dyDescent="0.25">
      <c r="A4" t="s">
        <v>165</v>
      </c>
      <c r="B4" t="s">
        <v>246</v>
      </c>
      <c r="C4" s="286">
        <v>45108.043287037035</v>
      </c>
      <c r="D4">
        <v>72432</v>
      </c>
      <c r="E4">
        <v>34307</v>
      </c>
      <c r="F4">
        <v>26</v>
      </c>
      <c r="G4">
        <v>27</v>
      </c>
      <c r="H4">
        <v>32</v>
      </c>
      <c r="I4">
        <v>60</v>
      </c>
      <c r="J4">
        <v>22</v>
      </c>
    </row>
    <row r="5" spans="1:10" x14ac:dyDescent="0.25">
      <c r="A5" t="s">
        <v>165</v>
      </c>
      <c r="B5" t="s">
        <v>246</v>
      </c>
      <c r="C5" s="286">
        <v>45078.043252314812</v>
      </c>
      <c r="D5">
        <v>71365</v>
      </c>
      <c r="E5">
        <v>33612</v>
      </c>
      <c r="F5">
        <v>30</v>
      </c>
      <c r="G5">
        <v>31</v>
      </c>
      <c r="H5">
        <v>37</v>
      </c>
      <c r="I5">
        <v>69</v>
      </c>
      <c r="J5">
        <v>22</v>
      </c>
    </row>
    <row r="6" spans="1:10" x14ac:dyDescent="0.25">
      <c r="A6" t="s">
        <v>385</v>
      </c>
      <c r="B6" t="s">
        <v>246</v>
      </c>
      <c r="C6" s="286">
        <v>45188.652488425927</v>
      </c>
      <c r="D6">
        <v>71365</v>
      </c>
      <c r="E6">
        <v>33612</v>
      </c>
      <c r="F6">
        <v>30</v>
      </c>
      <c r="G6">
        <v>31</v>
      </c>
      <c r="H6">
        <v>37</v>
      </c>
      <c r="I6">
        <v>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E147-A6DE-4467-8536-531D2AFDCFBD}">
  <sheetPr codeName="Foglio35"/>
  <dimension ref="A1:J4"/>
  <sheetViews>
    <sheetView workbookViewId="0">
      <selection activeCell="E13" sqref="E13"/>
    </sheetView>
  </sheetViews>
  <sheetFormatPr defaultRowHeight="15" x14ac:dyDescent="0.25"/>
  <cols>
    <col min="1" max="1" width="35.140625" bestFit="1" customWidth="1"/>
    <col min="2" max="2" width="11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158</v>
      </c>
      <c r="B2" t="s">
        <v>235</v>
      </c>
      <c r="C2" s="286">
        <v>45180.289421296293</v>
      </c>
      <c r="D2">
        <v>133729</v>
      </c>
      <c r="E2">
        <v>19300</v>
      </c>
      <c r="F2" s="287">
        <v>5</v>
      </c>
      <c r="G2" s="287">
        <v>9</v>
      </c>
      <c r="H2" s="287">
        <v>8</v>
      </c>
      <c r="I2">
        <v>21</v>
      </c>
      <c r="J2">
        <v>10</v>
      </c>
    </row>
    <row r="3" spans="1:10" x14ac:dyDescent="0.25">
      <c r="A3" t="s">
        <v>385</v>
      </c>
      <c r="B3" t="s">
        <v>246</v>
      </c>
      <c r="C3" s="286">
        <v>45188.652488425927</v>
      </c>
      <c r="D3" t="s">
        <v>382</v>
      </c>
      <c r="E3">
        <v>33612</v>
      </c>
      <c r="F3">
        <v>30</v>
      </c>
      <c r="G3">
        <v>31</v>
      </c>
      <c r="H3">
        <v>37</v>
      </c>
      <c r="I3" t="s">
        <v>382</v>
      </c>
      <c r="J3">
        <v>22</v>
      </c>
    </row>
    <row r="4" spans="1:10" x14ac:dyDescent="0.25">
      <c r="A4" t="s">
        <v>165</v>
      </c>
      <c r="B4" t="s">
        <v>246</v>
      </c>
      <c r="C4" s="286">
        <v>45170.043553240743</v>
      </c>
      <c r="D4">
        <v>74960</v>
      </c>
      <c r="E4">
        <v>35526</v>
      </c>
      <c r="F4">
        <v>16</v>
      </c>
      <c r="G4">
        <v>18</v>
      </c>
      <c r="H4">
        <v>18</v>
      </c>
      <c r="I4">
        <v>42</v>
      </c>
      <c r="J4">
        <v>22</v>
      </c>
    </row>
  </sheetData>
  <sortState xmlns:xlrd2="http://schemas.microsoft.com/office/spreadsheetml/2017/richdata2" ref="A2:J4">
    <sortCondition ref="J1:J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5C4E5-469F-44D6-A0C2-3025FF31B0D6}">
  <sheetPr codeName="Foglio34"/>
  <dimension ref="A1:J3"/>
  <sheetViews>
    <sheetView workbookViewId="0">
      <selection activeCell="D13" sqref="D13"/>
    </sheetView>
  </sheetViews>
  <sheetFormatPr defaultRowHeight="15" x14ac:dyDescent="0.25"/>
  <cols>
    <col min="1" max="1" width="30.140625" bestFit="1" customWidth="1"/>
    <col min="2" max="2" width="11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163</v>
      </c>
      <c r="B2" t="s">
        <v>244</v>
      </c>
      <c r="C2" s="286">
        <v>45180.348263888889</v>
      </c>
      <c r="D2">
        <v>44018</v>
      </c>
      <c r="E2">
        <v>35869</v>
      </c>
      <c r="F2">
        <v>87</v>
      </c>
      <c r="G2">
        <v>67</v>
      </c>
      <c r="H2">
        <v>72</v>
      </c>
      <c r="I2">
        <v>95</v>
      </c>
      <c r="J2">
        <v>20</v>
      </c>
    </row>
    <row r="3" spans="1:10" x14ac:dyDescent="0.25">
      <c r="A3" t="s">
        <v>383</v>
      </c>
      <c r="C3" s="286">
        <v>45187.814629629633</v>
      </c>
      <c r="D3" t="s">
        <v>382</v>
      </c>
      <c r="E3">
        <v>0</v>
      </c>
      <c r="F3" s="287"/>
      <c r="G3" s="287"/>
      <c r="H3" s="287"/>
      <c r="I3" t="s">
        <v>382</v>
      </c>
      <c r="J3" t="s">
        <v>42</v>
      </c>
    </row>
  </sheetData>
  <sortState xmlns:xlrd2="http://schemas.microsoft.com/office/spreadsheetml/2017/richdata2" ref="A2:J3">
    <sortCondition ref="J1:J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D35C-96E6-4A20-9706-D51FF135C54F}">
  <sheetPr codeName="Foglio33"/>
  <dimension ref="A1:J2"/>
  <sheetViews>
    <sheetView workbookViewId="0">
      <selection activeCell="D9" sqref="D9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F4DB3-880E-4375-8D6D-66F84AAC052A}">
  <sheetPr codeName="Foglio32"/>
  <dimension ref="A1:J60"/>
  <sheetViews>
    <sheetView workbookViewId="0">
      <selection activeCell="E12" sqref="E12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152</v>
      </c>
      <c r="B2" t="s">
        <v>223</v>
      </c>
      <c r="C2" s="286">
        <v>45184.374259259261</v>
      </c>
      <c r="D2">
        <v>196710</v>
      </c>
      <c r="E2">
        <v>35239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A3" t="s">
        <v>184</v>
      </c>
      <c r="B3" t="s">
        <v>224</v>
      </c>
      <c r="C3" s="286">
        <v>45180.582499999997</v>
      </c>
      <c r="D3">
        <v>14685</v>
      </c>
      <c r="E3">
        <v>20253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10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10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10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10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10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10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10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10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10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10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BB0D-7E7A-4D0D-9433-8E7295173F8F}">
  <sheetPr codeName="Foglio31"/>
  <dimension ref="A1:U60"/>
  <sheetViews>
    <sheetView workbookViewId="0">
      <selection activeCell="G11" sqref="G11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21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21" x14ac:dyDescent="0.25">
      <c r="L2" t="s">
        <v>152</v>
      </c>
      <c r="M2" t="s">
        <v>223</v>
      </c>
      <c r="N2" s="286">
        <v>45184.374259259261</v>
      </c>
      <c r="O2">
        <v>196710</v>
      </c>
      <c r="P2">
        <v>35239</v>
      </c>
      <c r="Q2" s="287">
        <v>5</v>
      </c>
      <c r="R2">
        <v>89</v>
      </c>
      <c r="S2">
        <v>69</v>
      </c>
      <c r="T2">
        <v>67</v>
      </c>
      <c r="U2">
        <v>2</v>
      </c>
    </row>
    <row r="3" spans="1:21" x14ac:dyDescent="0.25">
      <c r="L3" t="s">
        <v>184</v>
      </c>
      <c r="M3" t="s">
        <v>224</v>
      </c>
      <c r="N3" s="286">
        <v>45180.582499999997</v>
      </c>
      <c r="O3">
        <v>14685</v>
      </c>
      <c r="P3">
        <v>20253</v>
      </c>
      <c r="Q3" s="287">
        <v>5</v>
      </c>
      <c r="R3">
        <v>16</v>
      </c>
      <c r="S3">
        <v>12</v>
      </c>
      <c r="T3">
        <v>37</v>
      </c>
      <c r="U3">
        <v>3</v>
      </c>
    </row>
    <row r="4" spans="1:21" x14ac:dyDescent="0.25">
      <c r="L4" t="s">
        <v>205</v>
      </c>
      <c r="M4" t="s">
        <v>225</v>
      </c>
      <c r="N4" s="286">
        <v>45170.002060185187</v>
      </c>
      <c r="O4">
        <v>19547</v>
      </c>
      <c r="P4">
        <v>16093</v>
      </c>
      <c r="Q4">
        <v>52</v>
      </c>
      <c r="R4">
        <v>56</v>
      </c>
      <c r="S4">
        <v>53</v>
      </c>
      <c r="T4">
        <v>65</v>
      </c>
      <c r="U4">
        <v>4</v>
      </c>
    </row>
    <row r="5" spans="1:21" x14ac:dyDescent="0.25">
      <c r="L5" t="s">
        <v>154</v>
      </c>
      <c r="M5" t="s">
        <v>228</v>
      </c>
      <c r="N5" s="286">
        <v>45177.751932870371</v>
      </c>
      <c r="O5">
        <v>106567</v>
      </c>
      <c r="P5">
        <v>24869</v>
      </c>
      <c r="Q5">
        <v>49</v>
      </c>
      <c r="R5">
        <v>57</v>
      </c>
      <c r="S5">
        <v>29</v>
      </c>
      <c r="T5">
        <v>79</v>
      </c>
      <c r="U5">
        <v>5</v>
      </c>
    </row>
    <row r="6" spans="1:21" x14ac:dyDescent="0.25">
      <c r="L6" t="s">
        <v>155</v>
      </c>
      <c r="M6" t="s">
        <v>230</v>
      </c>
      <c r="N6" s="286">
        <v>45179.001736111109</v>
      </c>
      <c r="O6">
        <v>259766</v>
      </c>
      <c r="P6">
        <v>21997</v>
      </c>
      <c r="Q6">
        <v>96</v>
      </c>
      <c r="R6">
        <v>93</v>
      </c>
      <c r="S6">
        <v>95</v>
      </c>
      <c r="T6">
        <v>88</v>
      </c>
      <c r="U6">
        <v>6</v>
      </c>
    </row>
    <row r="7" spans="1:21" x14ac:dyDescent="0.25">
      <c r="L7" t="s">
        <v>156</v>
      </c>
      <c r="M7" t="s">
        <v>231</v>
      </c>
      <c r="N7" s="286">
        <v>45179.002314814818</v>
      </c>
      <c r="O7">
        <v>111219</v>
      </c>
      <c r="P7">
        <v>21997</v>
      </c>
      <c r="Q7">
        <v>96</v>
      </c>
      <c r="R7">
        <v>93</v>
      </c>
      <c r="S7">
        <v>95</v>
      </c>
      <c r="T7" s="287">
        <v>10</v>
      </c>
      <c r="U7">
        <v>7</v>
      </c>
    </row>
    <row r="8" spans="1:21" x14ac:dyDescent="0.25">
      <c r="L8" t="s">
        <v>153</v>
      </c>
      <c r="M8" t="s">
        <v>233</v>
      </c>
      <c r="N8" s="286">
        <v>45178.041967592595</v>
      </c>
      <c r="O8">
        <v>29934</v>
      </c>
      <c r="P8">
        <v>12834</v>
      </c>
      <c r="Q8">
        <v>30</v>
      </c>
      <c r="R8">
        <v>19</v>
      </c>
      <c r="S8">
        <v>16</v>
      </c>
      <c r="T8">
        <v>16</v>
      </c>
      <c r="U8">
        <v>8</v>
      </c>
    </row>
    <row r="9" spans="1:21" x14ac:dyDescent="0.25">
      <c r="L9" t="s">
        <v>157</v>
      </c>
      <c r="M9" t="s">
        <v>234</v>
      </c>
      <c r="N9" s="286">
        <v>45184.384837962964</v>
      </c>
      <c r="O9">
        <v>102367</v>
      </c>
      <c r="P9">
        <v>33033</v>
      </c>
      <c r="Q9">
        <v>11</v>
      </c>
      <c r="R9">
        <v>98</v>
      </c>
      <c r="S9" s="287">
        <v>7</v>
      </c>
      <c r="T9">
        <v>78</v>
      </c>
      <c r="U9">
        <v>9</v>
      </c>
    </row>
    <row r="10" spans="1:21" x14ac:dyDescent="0.25">
      <c r="L10" t="s">
        <v>158</v>
      </c>
      <c r="M10" t="s">
        <v>235</v>
      </c>
      <c r="N10" s="286">
        <v>45180.289421296293</v>
      </c>
      <c r="O10">
        <v>133729</v>
      </c>
      <c r="P10">
        <v>19300</v>
      </c>
      <c r="Q10" s="287">
        <v>5</v>
      </c>
      <c r="R10" s="287">
        <v>9</v>
      </c>
      <c r="S10" s="287">
        <v>8</v>
      </c>
      <c r="T10">
        <v>21</v>
      </c>
      <c r="U10">
        <v>10</v>
      </c>
    </row>
    <row r="11" spans="1:21" x14ac:dyDescent="0.25">
      <c r="L11" t="s">
        <v>176</v>
      </c>
      <c r="M11" t="s">
        <v>236</v>
      </c>
      <c r="N11" s="286">
        <v>45179.9608912037</v>
      </c>
      <c r="O11">
        <v>31685</v>
      </c>
      <c r="P11">
        <v>4749</v>
      </c>
      <c r="Q11">
        <v>68</v>
      </c>
      <c r="R11">
        <v>69</v>
      </c>
      <c r="S11">
        <v>64</v>
      </c>
      <c r="T11">
        <v>30</v>
      </c>
      <c r="U11">
        <v>11</v>
      </c>
    </row>
    <row r="12" spans="1:21" x14ac:dyDescent="0.25">
      <c r="L12" t="s">
        <v>203</v>
      </c>
      <c r="M12" t="s">
        <v>238</v>
      </c>
      <c r="N12" s="286">
        <v>45158.001863425925</v>
      </c>
      <c r="O12">
        <v>42820</v>
      </c>
      <c r="P12">
        <v>14846</v>
      </c>
      <c r="Q12">
        <v>38</v>
      </c>
      <c r="R12">
        <v>40</v>
      </c>
      <c r="S12">
        <v>35</v>
      </c>
      <c r="T12">
        <v>72</v>
      </c>
      <c r="U12">
        <v>12</v>
      </c>
    </row>
    <row r="13" spans="1:21" x14ac:dyDescent="0.25">
      <c r="L13" t="s">
        <v>204</v>
      </c>
      <c r="M13" t="s">
        <v>202</v>
      </c>
      <c r="N13" s="286">
        <v>45180.381712962961</v>
      </c>
      <c r="O13">
        <v>128881</v>
      </c>
      <c r="P13">
        <v>83552</v>
      </c>
      <c r="Q13">
        <v>59</v>
      </c>
      <c r="R13">
        <v>41</v>
      </c>
      <c r="S13" s="287">
        <v>5</v>
      </c>
      <c r="T13">
        <v>21</v>
      </c>
      <c r="U13">
        <v>13</v>
      </c>
    </row>
    <row r="14" spans="1:21" x14ac:dyDescent="0.25">
      <c r="L14" t="s">
        <v>294</v>
      </c>
      <c r="M14" t="s">
        <v>293</v>
      </c>
      <c r="N14" s="286">
        <v>45158.08556712963</v>
      </c>
      <c r="O14">
        <v>11872</v>
      </c>
      <c r="P14">
        <v>517</v>
      </c>
      <c r="Q14">
        <v>94</v>
      </c>
      <c r="R14">
        <v>93</v>
      </c>
      <c r="S14">
        <v>93</v>
      </c>
      <c r="T14">
        <v>57</v>
      </c>
      <c r="U14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451E-7325-4F7C-963B-0662192AC9EA}">
  <sheetPr codeName="Foglio30"/>
  <dimension ref="A1:V60"/>
  <sheetViews>
    <sheetView topLeftCell="F1" workbookViewId="0">
      <selection activeCell="K8" sqref="K8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22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22" x14ac:dyDescent="0.25">
      <c r="C2" s="286">
        <v>45184.374259259261</v>
      </c>
      <c r="D2" t="s">
        <v>152</v>
      </c>
      <c r="E2" t="s">
        <v>223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22" x14ac:dyDescent="0.25">
      <c r="M3" t="s">
        <v>184</v>
      </c>
      <c r="N3" t="s">
        <v>224</v>
      </c>
      <c r="O3" s="286">
        <v>45180.582499999997</v>
      </c>
      <c r="P3">
        <v>14685</v>
      </c>
      <c r="Q3">
        <v>20253</v>
      </c>
      <c r="R3" s="287">
        <v>5</v>
      </c>
      <c r="S3">
        <v>16</v>
      </c>
      <c r="T3">
        <v>12</v>
      </c>
      <c r="U3">
        <v>37</v>
      </c>
      <c r="V3">
        <v>3</v>
      </c>
    </row>
    <row r="4" spans="1:22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22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22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22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22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22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22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22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22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22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22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22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22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34E89-C93E-4440-B534-A257F5B0442A}">
  <sheetPr codeName="Foglio29"/>
  <dimension ref="A1:J2"/>
  <sheetViews>
    <sheetView workbookViewId="0">
      <selection activeCell="H10" sqref="H10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FB1D6-6607-45DD-AE12-AA6D44C6167F}">
  <sheetPr codeName="Foglio28"/>
  <dimension ref="A1:J2"/>
  <sheetViews>
    <sheetView workbookViewId="0">
      <selection activeCell="F13" sqref="F13"/>
    </sheetView>
  </sheetViews>
  <sheetFormatPr defaultRowHeight="15" x14ac:dyDescent="0.25"/>
  <cols>
    <col min="1" max="1" width="30.140625" bestFit="1" customWidth="1"/>
    <col min="2" max="2" width="7.140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A2" t="s">
        <v>383</v>
      </c>
      <c r="C2" s="286">
        <v>45187.814629629633</v>
      </c>
      <c r="D2" t="s">
        <v>382</v>
      </c>
      <c r="E2">
        <v>0</v>
      </c>
      <c r="F2" s="287"/>
      <c r="G2" s="287"/>
      <c r="H2" s="287"/>
      <c r="I2" t="s">
        <v>382</v>
      </c>
      <c r="J2" t="s">
        <v>42</v>
      </c>
    </row>
  </sheetData>
  <sortState xmlns:xlrd2="http://schemas.microsoft.com/office/spreadsheetml/2017/richdata2" ref="A2:J2">
    <sortCondition ref="J1:J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6424-63E3-4332-971F-54B43683F07E}">
  <sheetPr codeName="Foglio27"/>
  <dimension ref="A1:J60"/>
  <sheetViews>
    <sheetView workbookViewId="0">
      <selection activeCell="E10" sqref="E10"/>
    </sheetView>
  </sheetViews>
  <sheetFormatPr defaultRowHeight="15" x14ac:dyDescent="0.25"/>
  <cols>
    <col min="1" max="1" width="34" bestFit="1" customWidth="1"/>
    <col min="2" max="2" width="11.8554687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6" bestFit="1" customWidth="1"/>
    <col min="7" max="7" width="8.7109375" bestFit="1" customWidth="1"/>
    <col min="8" max="8" width="6.140625" bestFit="1" customWidth="1"/>
    <col min="9" max="9" width="11" bestFit="1" customWidth="1"/>
    <col min="10" max="10" width="4.7109375" bestFit="1" customWidth="1"/>
  </cols>
  <sheetData>
    <row r="1" spans="1:10" x14ac:dyDescent="0.25">
      <c r="A1" t="s">
        <v>364</v>
      </c>
      <c r="B1" t="s">
        <v>371</v>
      </c>
      <c r="C1" t="s">
        <v>372</v>
      </c>
      <c r="D1" t="s">
        <v>365</v>
      </c>
      <c r="E1" t="s">
        <v>366</v>
      </c>
      <c r="F1" t="s">
        <v>367</v>
      </c>
      <c r="G1" t="s">
        <v>368</v>
      </c>
      <c r="H1" t="s">
        <v>369</v>
      </c>
      <c r="I1" t="s">
        <v>370</v>
      </c>
      <c r="J1" t="s">
        <v>373</v>
      </c>
    </row>
    <row r="2" spans="1:10" x14ac:dyDescent="0.25">
      <c r="C2" s="286">
        <v>45184.374259259261</v>
      </c>
      <c r="D2" t="s">
        <v>152</v>
      </c>
      <c r="E2" t="s">
        <v>223</v>
      </c>
      <c r="F2" s="287">
        <v>5</v>
      </c>
      <c r="G2">
        <v>89</v>
      </c>
      <c r="H2">
        <v>69</v>
      </c>
      <c r="I2">
        <v>67</v>
      </c>
      <c r="J2">
        <v>2</v>
      </c>
    </row>
    <row r="3" spans="1:10" x14ac:dyDescent="0.25">
      <c r="C3" s="286">
        <v>45180.582499999997</v>
      </c>
      <c r="D3" t="s">
        <v>184</v>
      </c>
      <c r="E3" t="s">
        <v>224</v>
      </c>
      <c r="F3" s="287">
        <v>5</v>
      </c>
      <c r="G3">
        <v>16</v>
      </c>
      <c r="H3">
        <v>12</v>
      </c>
      <c r="I3">
        <v>37</v>
      </c>
      <c r="J3">
        <v>3</v>
      </c>
    </row>
    <row r="4" spans="1:10" x14ac:dyDescent="0.25">
      <c r="A4" t="s">
        <v>205</v>
      </c>
      <c r="B4" t="s">
        <v>225</v>
      </c>
      <c r="C4" s="286">
        <v>45170.002060185187</v>
      </c>
      <c r="D4">
        <v>19547</v>
      </c>
      <c r="E4">
        <v>16093</v>
      </c>
      <c r="F4">
        <v>52</v>
      </c>
      <c r="G4">
        <v>56</v>
      </c>
      <c r="H4">
        <v>53</v>
      </c>
      <c r="I4">
        <v>65</v>
      </c>
      <c r="J4">
        <v>4</v>
      </c>
    </row>
    <row r="5" spans="1:10" x14ac:dyDescent="0.25">
      <c r="A5" t="s">
        <v>154</v>
      </c>
      <c r="B5" t="s">
        <v>228</v>
      </c>
      <c r="C5" s="286">
        <v>45177.751932870371</v>
      </c>
      <c r="D5">
        <v>106567</v>
      </c>
      <c r="E5">
        <v>24869</v>
      </c>
      <c r="F5">
        <v>49</v>
      </c>
      <c r="G5">
        <v>57</v>
      </c>
      <c r="H5">
        <v>29</v>
      </c>
      <c r="I5">
        <v>79</v>
      </c>
      <c r="J5">
        <v>5</v>
      </c>
    </row>
    <row r="6" spans="1:10" x14ac:dyDescent="0.25">
      <c r="A6" t="s">
        <v>155</v>
      </c>
      <c r="B6" t="s">
        <v>230</v>
      </c>
      <c r="C6" s="286">
        <v>45179.001736111109</v>
      </c>
      <c r="D6">
        <v>259766</v>
      </c>
      <c r="E6">
        <v>21997</v>
      </c>
      <c r="F6">
        <v>96</v>
      </c>
      <c r="G6">
        <v>93</v>
      </c>
      <c r="H6">
        <v>95</v>
      </c>
      <c r="I6">
        <v>88</v>
      </c>
      <c r="J6">
        <v>6</v>
      </c>
    </row>
    <row r="7" spans="1:10" x14ac:dyDescent="0.25">
      <c r="A7" t="s">
        <v>156</v>
      </c>
      <c r="B7" t="s">
        <v>231</v>
      </c>
      <c r="C7" s="286">
        <v>45179.002314814818</v>
      </c>
      <c r="D7">
        <v>111219</v>
      </c>
      <c r="E7">
        <v>21997</v>
      </c>
      <c r="F7">
        <v>96</v>
      </c>
      <c r="G7">
        <v>93</v>
      </c>
      <c r="H7">
        <v>95</v>
      </c>
      <c r="I7" s="287">
        <v>10</v>
      </c>
      <c r="J7">
        <v>7</v>
      </c>
    </row>
    <row r="8" spans="1:10" x14ac:dyDescent="0.25">
      <c r="A8" t="s">
        <v>153</v>
      </c>
      <c r="B8" t="s">
        <v>233</v>
      </c>
      <c r="C8" s="286">
        <v>45178.041967592595</v>
      </c>
      <c r="D8">
        <v>29934</v>
      </c>
      <c r="E8">
        <v>12834</v>
      </c>
      <c r="F8">
        <v>30</v>
      </c>
      <c r="G8">
        <v>19</v>
      </c>
      <c r="H8">
        <v>16</v>
      </c>
      <c r="I8">
        <v>16</v>
      </c>
      <c r="J8">
        <v>8</v>
      </c>
    </row>
    <row r="9" spans="1:10" x14ac:dyDescent="0.25">
      <c r="A9" t="s">
        <v>157</v>
      </c>
      <c r="B9" t="s">
        <v>234</v>
      </c>
      <c r="C9" s="286">
        <v>45184.384837962964</v>
      </c>
      <c r="D9">
        <v>102367</v>
      </c>
      <c r="E9">
        <v>33033</v>
      </c>
      <c r="F9">
        <v>11</v>
      </c>
      <c r="G9">
        <v>98</v>
      </c>
      <c r="H9" s="287">
        <v>7</v>
      </c>
      <c r="I9">
        <v>78</v>
      </c>
      <c r="J9">
        <v>9</v>
      </c>
    </row>
    <row r="10" spans="1:10" x14ac:dyDescent="0.25">
      <c r="A10" t="s">
        <v>383</v>
      </c>
      <c r="B10" t="s">
        <v>235</v>
      </c>
      <c r="C10" s="286">
        <v>45187.814629629633</v>
      </c>
      <c r="D10" t="s">
        <v>382</v>
      </c>
      <c r="E10">
        <v>19285</v>
      </c>
      <c r="F10" s="287">
        <v>5</v>
      </c>
      <c r="G10" s="287">
        <v>10</v>
      </c>
      <c r="H10" s="287">
        <v>9</v>
      </c>
      <c r="I10" t="s">
        <v>382</v>
      </c>
      <c r="J10">
        <v>10</v>
      </c>
    </row>
    <row r="11" spans="1:10" x14ac:dyDescent="0.25">
      <c r="A11" t="s">
        <v>384</v>
      </c>
      <c r="B11" t="s">
        <v>235</v>
      </c>
      <c r="C11" s="286">
        <v>45183.855104166665</v>
      </c>
      <c r="D11" t="s">
        <v>382</v>
      </c>
      <c r="E11">
        <v>19285</v>
      </c>
      <c r="F11" s="287">
        <v>5</v>
      </c>
      <c r="G11" s="287">
        <v>10</v>
      </c>
      <c r="H11" s="287">
        <v>9</v>
      </c>
      <c r="I11" t="s">
        <v>382</v>
      </c>
      <c r="J11">
        <v>10</v>
      </c>
    </row>
    <row r="12" spans="1:10" x14ac:dyDescent="0.25">
      <c r="A12" t="s">
        <v>158</v>
      </c>
      <c r="B12" t="s">
        <v>235</v>
      </c>
      <c r="C12" s="286">
        <v>45180.289421296293</v>
      </c>
      <c r="D12">
        <v>133729</v>
      </c>
      <c r="E12">
        <v>19300</v>
      </c>
      <c r="F12" s="287">
        <v>5</v>
      </c>
      <c r="G12" s="287">
        <v>9</v>
      </c>
      <c r="H12" s="287">
        <v>8</v>
      </c>
      <c r="I12">
        <v>21</v>
      </c>
      <c r="J12">
        <v>10</v>
      </c>
    </row>
    <row r="13" spans="1:10" x14ac:dyDescent="0.25">
      <c r="A13" t="s">
        <v>176</v>
      </c>
      <c r="B13" t="s">
        <v>236</v>
      </c>
      <c r="C13" s="286">
        <v>45179.9608912037</v>
      </c>
      <c r="D13">
        <v>31685</v>
      </c>
      <c r="E13">
        <v>4749</v>
      </c>
      <c r="F13">
        <v>68</v>
      </c>
      <c r="G13">
        <v>69</v>
      </c>
      <c r="H13">
        <v>64</v>
      </c>
      <c r="I13">
        <v>30</v>
      </c>
      <c r="J13">
        <v>11</v>
      </c>
    </row>
    <row r="14" spans="1:10" x14ac:dyDescent="0.25">
      <c r="A14" t="s">
        <v>203</v>
      </c>
      <c r="B14" t="s">
        <v>238</v>
      </c>
      <c r="C14" s="286">
        <v>45158.001863425925</v>
      </c>
      <c r="D14">
        <v>42820</v>
      </c>
      <c r="E14">
        <v>14846</v>
      </c>
      <c r="F14">
        <v>38</v>
      </c>
      <c r="G14">
        <v>40</v>
      </c>
      <c r="H14">
        <v>35</v>
      </c>
      <c r="I14">
        <v>72</v>
      </c>
      <c r="J14">
        <v>12</v>
      </c>
    </row>
    <row r="15" spans="1:10" x14ac:dyDescent="0.25">
      <c r="A15" t="s">
        <v>204</v>
      </c>
      <c r="B15" t="s">
        <v>202</v>
      </c>
      <c r="C15" s="286">
        <v>45180.381712962961</v>
      </c>
      <c r="D15">
        <v>128881</v>
      </c>
      <c r="E15">
        <v>83552</v>
      </c>
      <c r="F15">
        <v>59</v>
      </c>
      <c r="G15">
        <v>41</v>
      </c>
      <c r="H15" s="287">
        <v>5</v>
      </c>
      <c r="I15">
        <v>21</v>
      </c>
      <c r="J15">
        <v>13</v>
      </c>
    </row>
    <row r="16" spans="1:10" x14ac:dyDescent="0.25">
      <c r="A16" t="s">
        <v>294</v>
      </c>
      <c r="B16" t="s">
        <v>293</v>
      </c>
      <c r="C16" s="286">
        <v>45158.08556712963</v>
      </c>
      <c r="D16">
        <v>11872</v>
      </c>
      <c r="E16">
        <v>517</v>
      </c>
      <c r="F16">
        <v>94</v>
      </c>
      <c r="G16">
        <v>93</v>
      </c>
      <c r="H16">
        <v>93</v>
      </c>
      <c r="I16">
        <v>57</v>
      </c>
      <c r="J16">
        <v>14</v>
      </c>
    </row>
    <row r="17" spans="1:10" x14ac:dyDescent="0.25">
      <c r="A17" t="s">
        <v>160</v>
      </c>
      <c r="B17" t="s">
        <v>240</v>
      </c>
      <c r="C17" s="286">
        <v>45181.375115740739</v>
      </c>
      <c r="D17">
        <v>30045</v>
      </c>
      <c r="E17">
        <v>18914</v>
      </c>
      <c r="F17">
        <v>100</v>
      </c>
      <c r="G17">
        <v>100</v>
      </c>
      <c r="H17">
        <v>100</v>
      </c>
      <c r="I17">
        <v>89</v>
      </c>
      <c r="J17">
        <v>15</v>
      </c>
    </row>
    <row r="18" spans="1:10" x14ac:dyDescent="0.25">
      <c r="A18" t="s">
        <v>161</v>
      </c>
      <c r="B18" t="s">
        <v>241</v>
      </c>
      <c r="C18" s="286">
        <v>45177.75267361111</v>
      </c>
      <c r="D18">
        <v>38793</v>
      </c>
      <c r="E18">
        <v>20891</v>
      </c>
      <c r="F18" s="287">
        <v>5</v>
      </c>
      <c r="G18" s="287">
        <v>10</v>
      </c>
      <c r="H18" s="287">
        <v>5</v>
      </c>
      <c r="I18">
        <v>59</v>
      </c>
      <c r="J18">
        <v>16</v>
      </c>
    </row>
    <row r="19" spans="1:10" x14ac:dyDescent="0.25">
      <c r="A19" t="s">
        <v>183</v>
      </c>
      <c r="B19" t="s">
        <v>242</v>
      </c>
      <c r="C19" s="286">
        <v>45161.687418981484</v>
      </c>
      <c r="D19">
        <v>52646</v>
      </c>
      <c r="E19">
        <v>33033</v>
      </c>
      <c r="F19">
        <v>11</v>
      </c>
      <c r="G19">
        <v>98</v>
      </c>
      <c r="H19" s="287">
        <v>7</v>
      </c>
      <c r="I19" s="287">
        <v>5</v>
      </c>
      <c r="J19">
        <v>17</v>
      </c>
    </row>
    <row r="20" spans="1:10" x14ac:dyDescent="0.25">
      <c r="A20" t="s">
        <v>162</v>
      </c>
      <c r="B20" t="s">
        <v>243</v>
      </c>
      <c r="C20" s="286">
        <v>45181.627337962964</v>
      </c>
      <c r="D20">
        <v>71511</v>
      </c>
      <c r="E20">
        <v>5782</v>
      </c>
      <c r="F20">
        <v>57</v>
      </c>
      <c r="G20">
        <v>58</v>
      </c>
      <c r="H20">
        <v>45</v>
      </c>
      <c r="I20">
        <v>79</v>
      </c>
      <c r="J20">
        <v>18</v>
      </c>
    </row>
    <row r="21" spans="1:10" x14ac:dyDescent="0.25">
      <c r="A21" t="s">
        <v>317</v>
      </c>
      <c r="B21" t="s">
        <v>318</v>
      </c>
      <c r="C21" s="286">
        <v>45158.085231481484</v>
      </c>
      <c r="D21">
        <v>3742</v>
      </c>
      <c r="E21">
        <v>424</v>
      </c>
      <c r="F21">
        <v>96</v>
      </c>
      <c r="G21">
        <v>94</v>
      </c>
      <c r="H21">
        <v>95</v>
      </c>
      <c r="I21">
        <v>83</v>
      </c>
      <c r="J21">
        <v>19</v>
      </c>
    </row>
    <row r="22" spans="1:10" x14ac:dyDescent="0.25">
      <c r="A22" t="s">
        <v>163</v>
      </c>
      <c r="B22" t="s">
        <v>244</v>
      </c>
      <c r="C22" s="286">
        <v>45180.348263888889</v>
      </c>
      <c r="D22">
        <v>44018</v>
      </c>
      <c r="E22">
        <v>35869</v>
      </c>
      <c r="F22">
        <v>87</v>
      </c>
      <c r="G22">
        <v>67</v>
      </c>
      <c r="H22">
        <v>72</v>
      </c>
      <c r="I22">
        <v>95</v>
      </c>
      <c r="J22">
        <v>20</v>
      </c>
    </row>
    <row r="23" spans="1:10" x14ac:dyDescent="0.25">
      <c r="A23" t="s">
        <v>164</v>
      </c>
      <c r="B23" t="s">
        <v>245</v>
      </c>
      <c r="C23" s="286">
        <v>45183.737303240741</v>
      </c>
      <c r="D23">
        <v>47829</v>
      </c>
      <c r="E23">
        <v>8657</v>
      </c>
      <c r="F23">
        <v>12</v>
      </c>
      <c r="G23">
        <v>22</v>
      </c>
      <c r="H23" s="287">
        <v>5</v>
      </c>
      <c r="I23" s="287">
        <v>6</v>
      </c>
      <c r="J23">
        <v>21</v>
      </c>
    </row>
    <row r="24" spans="1:10" x14ac:dyDescent="0.25">
      <c r="A24" t="s">
        <v>165</v>
      </c>
      <c r="B24" t="s">
        <v>246</v>
      </c>
      <c r="C24" s="286">
        <v>45170.043553240743</v>
      </c>
      <c r="D24">
        <v>74960</v>
      </c>
      <c r="E24">
        <v>35526</v>
      </c>
      <c r="F24">
        <v>16</v>
      </c>
      <c r="G24">
        <v>18</v>
      </c>
      <c r="H24">
        <v>18</v>
      </c>
      <c r="I24">
        <v>42</v>
      </c>
      <c r="J24">
        <v>22</v>
      </c>
    </row>
    <row r="25" spans="1:10" x14ac:dyDescent="0.25">
      <c r="A25" t="s">
        <v>177</v>
      </c>
      <c r="B25" t="s">
        <v>247</v>
      </c>
      <c r="C25" s="286">
        <v>45170.547511574077</v>
      </c>
      <c r="D25">
        <v>41979</v>
      </c>
      <c r="E25">
        <v>13231</v>
      </c>
      <c r="F25" s="287">
        <v>5</v>
      </c>
      <c r="G25">
        <v>91</v>
      </c>
      <c r="H25">
        <v>92</v>
      </c>
      <c r="I25">
        <v>36</v>
      </c>
      <c r="J25">
        <v>23</v>
      </c>
    </row>
    <row r="26" spans="1:10" x14ac:dyDescent="0.25">
      <c r="A26" t="s">
        <v>327</v>
      </c>
      <c r="B26" t="s">
        <v>329</v>
      </c>
      <c r="C26" s="286">
        <v>45158.085185185184</v>
      </c>
      <c r="D26">
        <v>19053</v>
      </c>
      <c r="E26">
        <v>5479</v>
      </c>
      <c r="F26">
        <v>29</v>
      </c>
      <c r="G26">
        <v>33</v>
      </c>
      <c r="H26">
        <v>34</v>
      </c>
      <c r="I26">
        <v>52</v>
      </c>
      <c r="J26">
        <v>25</v>
      </c>
    </row>
    <row r="27" spans="1:10" x14ac:dyDescent="0.25">
      <c r="A27" t="s">
        <v>209</v>
      </c>
      <c r="B27" t="s">
        <v>248</v>
      </c>
      <c r="C27" s="286">
        <v>45158.00240740741</v>
      </c>
      <c r="D27">
        <v>18831</v>
      </c>
      <c r="E27">
        <v>2207</v>
      </c>
      <c r="F27">
        <v>86</v>
      </c>
      <c r="G27">
        <v>85</v>
      </c>
      <c r="H27">
        <v>84</v>
      </c>
      <c r="I27">
        <v>13</v>
      </c>
      <c r="J27">
        <v>26</v>
      </c>
    </row>
    <row r="28" spans="1:10" x14ac:dyDescent="0.25">
      <c r="A28" t="s">
        <v>166</v>
      </c>
      <c r="B28" t="s">
        <v>249</v>
      </c>
      <c r="C28" s="286">
        <v>45181.690046296295</v>
      </c>
      <c r="D28">
        <v>46176</v>
      </c>
      <c r="E28">
        <v>49285</v>
      </c>
      <c r="F28">
        <v>19</v>
      </c>
      <c r="G28" s="287">
        <v>5</v>
      </c>
      <c r="H28" s="287">
        <v>5</v>
      </c>
      <c r="I28">
        <v>71</v>
      </c>
      <c r="J28">
        <v>27</v>
      </c>
    </row>
    <row r="29" spans="1:10" x14ac:dyDescent="0.25">
      <c r="A29" t="s">
        <v>159</v>
      </c>
      <c r="B29" t="s">
        <v>250</v>
      </c>
      <c r="C29" s="286">
        <v>45180.291145833333</v>
      </c>
      <c r="D29" t="s">
        <v>382</v>
      </c>
      <c r="E29">
        <v>8657</v>
      </c>
      <c r="F29">
        <v>12</v>
      </c>
      <c r="G29">
        <v>22</v>
      </c>
      <c r="H29" s="287">
        <v>5</v>
      </c>
      <c r="I29" t="s">
        <v>382</v>
      </c>
      <c r="J29">
        <v>28</v>
      </c>
    </row>
    <row r="30" spans="1:10" x14ac:dyDescent="0.25">
      <c r="A30" t="s">
        <v>168</v>
      </c>
      <c r="B30" t="s">
        <v>252</v>
      </c>
      <c r="C30" s="286">
        <v>45170.045428240737</v>
      </c>
      <c r="D30">
        <v>123085</v>
      </c>
      <c r="E30">
        <v>88134</v>
      </c>
      <c r="F30">
        <v>35</v>
      </c>
      <c r="G30">
        <v>48</v>
      </c>
      <c r="H30">
        <v>32</v>
      </c>
      <c r="I30">
        <v>23</v>
      </c>
      <c r="J30">
        <v>30</v>
      </c>
    </row>
    <row r="31" spans="1:10" x14ac:dyDescent="0.25">
      <c r="A31" t="s">
        <v>193</v>
      </c>
      <c r="B31" t="s">
        <v>195</v>
      </c>
      <c r="C31" s="286">
        <v>45170.084745370368</v>
      </c>
      <c r="D31">
        <v>16081</v>
      </c>
      <c r="E31">
        <v>9796</v>
      </c>
      <c r="F31">
        <v>64</v>
      </c>
      <c r="G31">
        <v>61</v>
      </c>
      <c r="H31">
        <v>57</v>
      </c>
      <c r="I31">
        <v>89</v>
      </c>
      <c r="J31">
        <v>31</v>
      </c>
    </row>
    <row r="32" spans="1:10" x14ac:dyDescent="0.25">
      <c r="A32" t="s">
        <v>251</v>
      </c>
      <c r="B32" t="s">
        <v>214</v>
      </c>
      <c r="C32" s="286">
        <v>45158.001701388886</v>
      </c>
      <c r="D32">
        <v>40797</v>
      </c>
      <c r="E32">
        <v>5020</v>
      </c>
      <c r="F32">
        <v>81</v>
      </c>
      <c r="G32">
        <v>79</v>
      </c>
      <c r="H32">
        <v>79</v>
      </c>
      <c r="I32">
        <v>80</v>
      </c>
      <c r="J32">
        <v>32</v>
      </c>
    </row>
    <row r="33" spans="1:10" x14ac:dyDescent="0.25">
      <c r="A33" t="s">
        <v>221</v>
      </c>
      <c r="B33" t="s">
        <v>219</v>
      </c>
      <c r="C33" s="286">
        <v>45158.002233796295</v>
      </c>
      <c r="D33">
        <v>5755</v>
      </c>
      <c r="E33">
        <v>4462</v>
      </c>
      <c r="F33">
        <v>81</v>
      </c>
      <c r="G33">
        <v>81</v>
      </c>
      <c r="H33">
        <v>77</v>
      </c>
      <c r="I33">
        <v>54</v>
      </c>
      <c r="J33">
        <v>33</v>
      </c>
    </row>
    <row r="34" spans="1:10" x14ac:dyDescent="0.25">
      <c r="A34" t="s">
        <v>167</v>
      </c>
      <c r="B34" t="s">
        <v>217</v>
      </c>
      <c r="C34" s="286">
        <v>45174.720532407409</v>
      </c>
      <c r="D34">
        <v>182578</v>
      </c>
      <c r="E34">
        <v>17622</v>
      </c>
      <c r="F34">
        <v>72</v>
      </c>
      <c r="G34">
        <v>77</v>
      </c>
      <c r="H34">
        <v>66</v>
      </c>
      <c r="I34">
        <v>17</v>
      </c>
      <c r="J34">
        <v>34</v>
      </c>
    </row>
    <row r="35" spans="1:10" x14ac:dyDescent="0.25">
      <c r="A35" t="s">
        <v>167</v>
      </c>
      <c r="B35" t="s">
        <v>340</v>
      </c>
      <c r="C35" s="286">
        <v>45135.376331018517</v>
      </c>
      <c r="D35">
        <v>0</v>
      </c>
      <c r="E35">
        <v>0</v>
      </c>
      <c r="F35">
        <v>98</v>
      </c>
      <c r="G35">
        <v>97</v>
      </c>
      <c r="H35">
        <v>97</v>
      </c>
      <c r="I35">
        <v>97</v>
      </c>
      <c r="J35">
        <v>35</v>
      </c>
    </row>
    <row r="36" spans="1:10" x14ac:dyDescent="0.25">
      <c r="A36" t="s">
        <v>185</v>
      </c>
      <c r="B36" t="s">
        <v>253</v>
      </c>
      <c r="C36" s="286">
        <v>45170.358252314814</v>
      </c>
      <c r="D36">
        <v>21796</v>
      </c>
      <c r="E36">
        <v>4527</v>
      </c>
      <c r="F36">
        <v>39</v>
      </c>
      <c r="G36">
        <v>42</v>
      </c>
      <c r="H36">
        <v>26</v>
      </c>
      <c r="I36">
        <v>30</v>
      </c>
      <c r="J36">
        <v>36</v>
      </c>
    </row>
    <row r="37" spans="1:10" x14ac:dyDescent="0.25">
      <c r="A37" t="s">
        <v>201</v>
      </c>
      <c r="B37" t="s">
        <v>197</v>
      </c>
      <c r="C37" s="286">
        <v>45170.001875000002</v>
      </c>
      <c r="D37">
        <v>56258</v>
      </c>
      <c r="E37">
        <v>3918</v>
      </c>
      <c r="F37">
        <v>83</v>
      </c>
      <c r="G37">
        <v>82</v>
      </c>
      <c r="H37">
        <v>79</v>
      </c>
      <c r="I37">
        <v>62</v>
      </c>
      <c r="J37">
        <v>37</v>
      </c>
    </row>
    <row r="38" spans="1:10" x14ac:dyDescent="0.25">
      <c r="A38" t="s">
        <v>344</v>
      </c>
      <c r="B38" t="s">
        <v>346</v>
      </c>
      <c r="C38" s="286">
        <v>45158.085219907407</v>
      </c>
      <c r="D38">
        <v>1044</v>
      </c>
      <c r="E38">
        <v>407</v>
      </c>
      <c r="F38">
        <v>95</v>
      </c>
      <c r="G38">
        <v>95</v>
      </c>
      <c r="H38">
        <v>96</v>
      </c>
      <c r="I38">
        <v>93</v>
      </c>
      <c r="J38">
        <v>38</v>
      </c>
    </row>
    <row r="39" spans="1:10" x14ac:dyDescent="0.25">
      <c r="A39" t="s">
        <v>289</v>
      </c>
      <c r="B39" t="s">
        <v>290</v>
      </c>
      <c r="C39" s="286">
        <v>45158.001701388886</v>
      </c>
      <c r="D39">
        <v>4540</v>
      </c>
      <c r="E39">
        <v>724</v>
      </c>
      <c r="F39">
        <v>95</v>
      </c>
      <c r="G39">
        <v>94</v>
      </c>
      <c r="H39">
        <v>95</v>
      </c>
      <c r="I39">
        <v>82</v>
      </c>
      <c r="J39">
        <v>39</v>
      </c>
    </row>
    <row r="40" spans="1:10" x14ac:dyDescent="0.25">
      <c r="A40" t="s">
        <v>169</v>
      </c>
      <c r="B40" t="s">
        <v>256</v>
      </c>
      <c r="C40" s="286">
        <v>45183.722592592596</v>
      </c>
      <c r="D40">
        <v>69447</v>
      </c>
      <c r="E40">
        <v>45063</v>
      </c>
      <c r="F40">
        <v>40</v>
      </c>
      <c r="G40">
        <v>48</v>
      </c>
      <c r="H40">
        <v>62</v>
      </c>
      <c r="I40">
        <v>24</v>
      </c>
      <c r="J40">
        <v>42</v>
      </c>
    </row>
    <row r="41" spans="1:10" x14ac:dyDescent="0.25">
      <c r="A41" t="s">
        <v>350</v>
      </c>
      <c r="B41" t="s">
        <v>286</v>
      </c>
      <c r="C41" s="286">
        <v>45158.043321759258</v>
      </c>
      <c r="D41">
        <v>6633</v>
      </c>
      <c r="E41">
        <v>1452</v>
      </c>
      <c r="F41">
        <v>91</v>
      </c>
      <c r="G41">
        <v>90</v>
      </c>
      <c r="H41">
        <v>90</v>
      </c>
      <c r="I41">
        <v>70</v>
      </c>
      <c r="J41">
        <v>43</v>
      </c>
    </row>
    <row r="42" spans="1:10" x14ac:dyDescent="0.25">
      <c r="A42" t="s">
        <v>282</v>
      </c>
      <c r="B42" t="s">
        <v>189</v>
      </c>
      <c r="C42" s="286">
        <v>45173.484201388892</v>
      </c>
      <c r="D42">
        <v>85821</v>
      </c>
      <c r="E42">
        <v>12834</v>
      </c>
      <c r="F42">
        <v>30</v>
      </c>
      <c r="G42">
        <v>19</v>
      </c>
      <c r="H42">
        <v>16</v>
      </c>
      <c r="I42">
        <v>70</v>
      </c>
      <c r="J42">
        <v>44</v>
      </c>
    </row>
    <row r="43" spans="1:10" x14ac:dyDescent="0.25">
      <c r="A43" t="s">
        <v>282</v>
      </c>
      <c r="B43" t="s">
        <v>190</v>
      </c>
      <c r="C43" s="286">
        <v>45182.674131944441</v>
      </c>
      <c r="D43">
        <v>50056</v>
      </c>
      <c r="E43">
        <v>8563</v>
      </c>
      <c r="F43">
        <v>70</v>
      </c>
      <c r="G43">
        <v>71</v>
      </c>
      <c r="H43">
        <v>68</v>
      </c>
      <c r="I43" s="287">
        <v>7</v>
      </c>
      <c r="J43">
        <v>45</v>
      </c>
    </row>
    <row r="44" spans="1:10" x14ac:dyDescent="0.25">
      <c r="A44" t="s">
        <v>170</v>
      </c>
      <c r="B44" t="s">
        <v>257</v>
      </c>
      <c r="C44" s="286">
        <v>45184.363715277781</v>
      </c>
      <c r="D44">
        <v>121941</v>
      </c>
      <c r="E44">
        <v>32248</v>
      </c>
      <c r="F44">
        <v>45</v>
      </c>
      <c r="G44">
        <v>51</v>
      </c>
      <c r="H44">
        <v>40</v>
      </c>
      <c r="I44">
        <v>69</v>
      </c>
      <c r="J44">
        <v>46</v>
      </c>
    </row>
    <row r="45" spans="1:10" x14ac:dyDescent="0.25">
      <c r="A45" t="s">
        <v>171</v>
      </c>
      <c r="B45" t="s">
        <v>258</v>
      </c>
      <c r="C45" s="286">
        <v>45158.001828703702</v>
      </c>
      <c r="D45">
        <v>69214</v>
      </c>
      <c r="E45">
        <v>33033</v>
      </c>
      <c r="F45">
        <v>11</v>
      </c>
      <c r="G45">
        <v>98</v>
      </c>
      <c r="H45" s="287">
        <v>7</v>
      </c>
      <c r="I45">
        <v>55</v>
      </c>
      <c r="J45">
        <v>47</v>
      </c>
    </row>
    <row r="46" spans="1:10" x14ac:dyDescent="0.25">
      <c r="A46" t="s">
        <v>171</v>
      </c>
      <c r="B46" t="s">
        <v>237</v>
      </c>
      <c r="C46" s="286">
        <v>45183.398680555554</v>
      </c>
      <c r="D46">
        <v>25127</v>
      </c>
      <c r="E46">
        <v>4124</v>
      </c>
      <c r="F46">
        <v>81</v>
      </c>
      <c r="G46">
        <v>81</v>
      </c>
      <c r="H46">
        <v>82</v>
      </c>
      <c r="I46">
        <v>100</v>
      </c>
      <c r="J46">
        <v>48</v>
      </c>
    </row>
    <row r="47" spans="1:10" x14ac:dyDescent="0.25">
      <c r="A47" t="s">
        <v>171</v>
      </c>
      <c r="B47" t="s">
        <v>260</v>
      </c>
      <c r="C47" s="286">
        <v>45158.601550925923</v>
      </c>
      <c r="D47">
        <v>17882</v>
      </c>
      <c r="E47">
        <v>11680</v>
      </c>
      <c r="F47">
        <v>48</v>
      </c>
      <c r="G47">
        <v>47</v>
      </c>
      <c r="H47">
        <v>40</v>
      </c>
      <c r="I47">
        <v>72</v>
      </c>
      <c r="J47">
        <v>49</v>
      </c>
    </row>
    <row r="48" spans="1:10" x14ac:dyDescent="0.25">
      <c r="A48" t="s">
        <v>171</v>
      </c>
      <c r="B48" t="s">
        <v>259</v>
      </c>
      <c r="C48" s="286">
        <v>45183.388460648152</v>
      </c>
      <c r="D48">
        <v>412379</v>
      </c>
      <c r="E48">
        <v>21997</v>
      </c>
      <c r="F48">
        <v>96</v>
      </c>
      <c r="G48">
        <v>93</v>
      </c>
      <c r="H48">
        <v>95</v>
      </c>
      <c r="I48">
        <v>69</v>
      </c>
      <c r="J48">
        <v>50</v>
      </c>
    </row>
    <row r="49" spans="1:10" x14ac:dyDescent="0.25">
      <c r="A49" t="s">
        <v>178</v>
      </c>
      <c r="B49" t="s">
        <v>262</v>
      </c>
      <c r="C49" s="286">
        <v>45170.043993055559</v>
      </c>
      <c r="D49">
        <v>183560</v>
      </c>
      <c r="E49">
        <v>21997</v>
      </c>
      <c r="F49">
        <v>96</v>
      </c>
      <c r="G49">
        <v>93</v>
      </c>
      <c r="H49">
        <v>95</v>
      </c>
      <c r="I49">
        <v>16</v>
      </c>
      <c r="J49">
        <v>51</v>
      </c>
    </row>
    <row r="50" spans="1:10" x14ac:dyDescent="0.25">
      <c r="A50" t="s">
        <v>172</v>
      </c>
      <c r="B50" t="s">
        <v>264</v>
      </c>
      <c r="C50" s="286">
        <v>45170.043773148151</v>
      </c>
      <c r="D50">
        <v>171304</v>
      </c>
      <c r="E50">
        <v>21997</v>
      </c>
      <c r="F50">
        <v>96</v>
      </c>
      <c r="G50">
        <v>93</v>
      </c>
      <c r="H50">
        <v>95</v>
      </c>
      <c r="I50" s="287">
        <v>6</v>
      </c>
      <c r="J50">
        <v>52</v>
      </c>
    </row>
    <row r="51" spans="1:10" x14ac:dyDescent="0.25">
      <c r="A51" t="s">
        <v>173</v>
      </c>
      <c r="B51" t="s">
        <v>265</v>
      </c>
      <c r="C51" s="286">
        <v>45182.731435185182</v>
      </c>
      <c r="D51">
        <v>41022</v>
      </c>
      <c r="E51">
        <v>6348</v>
      </c>
      <c r="F51">
        <v>15</v>
      </c>
      <c r="G51">
        <v>13</v>
      </c>
      <c r="H51" s="287">
        <v>5</v>
      </c>
      <c r="I51">
        <v>99</v>
      </c>
      <c r="J51">
        <v>53</v>
      </c>
    </row>
    <row r="52" spans="1:10" x14ac:dyDescent="0.25">
      <c r="A52" t="s">
        <v>174</v>
      </c>
      <c r="B52" t="s">
        <v>266</v>
      </c>
      <c r="C52" s="286">
        <v>45180.374259259261</v>
      </c>
      <c r="D52">
        <v>105165</v>
      </c>
      <c r="E52">
        <v>45032</v>
      </c>
      <c r="F52">
        <v>87</v>
      </c>
      <c r="G52">
        <v>32</v>
      </c>
      <c r="H52">
        <v>92</v>
      </c>
      <c r="I52">
        <v>64</v>
      </c>
      <c r="J52">
        <v>54</v>
      </c>
    </row>
    <row r="53" spans="1:10" x14ac:dyDescent="0.25">
      <c r="A53" t="s">
        <v>175</v>
      </c>
      <c r="B53" t="s">
        <v>143</v>
      </c>
      <c r="C53" s="286">
        <v>45169.996053240742</v>
      </c>
      <c r="D53">
        <v>202696</v>
      </c>
      <c r="E53">
        <v>33033</v>
      </c>
      <c r="F53">
        <v>11</v>
      </c>
      <c r="G53">
        <v>98</v>
      </c>
      <c r="H53" s="287">
        <v>7</v>
      </c>
      <c r="I53">
        <v>97</v>
      </c>
      <c r="J53">
        <v>55</v>
      </c>
    </row>
    <row r="54" spans="1:10" x14ac:dyDescent="0.25">
      <c r="A54" t="s">
        <v>175</v>
      </c>
      <c r="B54" t="s">
        <v>142</v>
      </c>
      <c r="C54" s="286">
        <v>45169.999027777776</v>
      </c>
      <c r="D54">
        <v>194717</v>
      </c>
      <c r="E54">
        <v>33033</v>
      </c>
      <c r="F54">
        <v>11</v>
      </c>
      <c r="G54">
        <v>98</v>
      </c>
      <c r="H54" s="287">
        <v>7</v>
      </c>
      <c r="I54">
        <v>60</v>
      </c>
      <c r="J54">
        <v>56</v>
      </c>
    </row>
    <row r="55" spans="1:10" x14ac:dyDescent="0.25">
      <c r="A55" t="s">
        <v>360</v>
      </c>
      <c r="B55" t="s">
        <v>284</v>
      </c>
      <c r="C55" s="286">
        <v>45097.04351851852</v>
      </c>
      <c r="D55">
        <v>11889</v>
      </c>
      <c r="E55">
        <v>15160</v>
      </c>
      <c r="F55">
        <v>28</v>
      </c>
      <c r="G55">
        <v>21</v>
      </c>
      <c r="H55">
        <v>30</v>
      </c>
      <c r="I55">
        <v>21</v>
      </c>
      <c r="J55">
        <v>60</v>
      </c>
    </row>
    <row r="56" spans="1:10" x14ac:dyDescent="0.25">
      <c r="A56" t="s">
        <v>288</v>
      </c>
      <c r="B56">
        <v>1382800465</v>
      </c>
      <c r="C56" s="286">
        <v>45184.407766203702</v>
      </c>
      <c r="D56">
        <v>241487</v>
      </c>
      <c r="E56">
        <v>33033</v>
      </c>
      <c r="F56">
        <v>11</v>
      </c>
      <c r="G56">
        <v>98</v>
      </c>
      <c r="H56" s="287">
        <v>7</v>
      </c>
      <c r="I56" s="287">
        <v>10</v>
      </c>
      <c r="J56" t="s">
        <v>42</v>
      </c>
    </row>
    <row r="57" spans="1:10" x14ac:dyDescent="0.25">
      <c r="A57" t="s">
        <v>378</v>
      </c>
      <c r="B57" t="s">
        <v>379</v>
      </c>
      <c r="C57" s="286">
        <v>45104.693530092591</v>
      </c>
      <c r="D57">
        <v>83528</v>
      </c>
      <c r="E57">
        <v>33033</v>
      </c>
      <c r="F57">
        <v>11</v>
      </c>
      <c r="G57">
        <v>98</v>
      </c>
      <c r="H57" s="287">
        <v>7</v>
      </c>
      <c r="I57">
        <v>41</v>
      </c>
      <c r="J57" t="s">
        <v>42</v>
      </c>
    </row>
    <row r="58" spans="1:10" x14ac:dyDescent="0.25">
      <c r="A58" t="s">
        <v>374</v>
      </c>
      <c r="B58" t="s">
        <v>375</v>
      </c>
      <c r="C58" s="286">
        <v>45103.28125</v>
      </c>
      <c r="D58">
        <v>238436</v>
      </c>
      <c r="E58">
        <v>40230</v>
      </c>
      <c r="F58">
        <v>30</v>
      </c>
      <c r="G58">
        <v>43</v>
      </c>
      <c r="H58">
        <v>14</v>
      </c>
      <c r="I58">
        <v>74</v>
      </c>
      <c r="J58" t="s">
        <v>42</v>
      </c>
    </row>
    <row r="59" spans="1:10" x14ac:dyDescent="0.25">
      <c r="A59" t="s">
        <v>380</v>
      </c>
      <c r="B59" t="s">
        <v>381</v>
      </c>
      <c r="C59" s="286">
        <v>45095.291724537034</v>
      </c>
      <c r="D59">
        <v>53099</v>
      </c>
      <c r="E59">
        <v>33033</v>
      </c>
      <c r="F59">
        <v>11</v>
      </c>
      <c r="G59">
        <v>98</v>
      </c>
      <c r="H59" s="287">
        <v>7</v>
      </c>
      <c r="I59">
        <v>72</v>
      </c>
      <c r="J59" t="s">
        <v>42</v>
      </c>
    </row>
    <row r="60" spans="1:10" x14ac:dyDescent="0.25">
      <c r="A60" t="s">
        <v>376</v>
      </c>
      <c r="B60" t="s">
        <v>377</v>
      </c>
      <c r="C60" s="286">
        <v>45078.317569444444</v>
      </c>
      <c r="D60">
        <v>40580</v>
      </c>
      <c r="E60">
        <v>22413</v>
      </c>
      <c r="F60">
        <v>61</v>
      </c>
      <c r="G60">
        <v>76</v>
      </c>
      <c r="H60">
        <v>30</v>
      </c>
      <c r="I60">
        <v>63</v>
      </c>
      <c r="J60" t="s">
        <v>42</v>
      </c>
    </row>
  </sheetData>
  <sortState xmlns:xlrd2="http://schemas.microsoft.com/office/spreadsheetml/2017/richdata2" ref="A2:J60">
    <sortCondition ref="J1:J60"/>
  </sortState>
  <dataConsolidate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G17" sqref="G17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8" t="s">
        <v>137</v>
      </c>
      <c r="G36" s="288"/>
      <c r="H36" s="288"/>
      <c r="I36" s="288"/>
      <c r="J36" s="288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22</vt:i4>
      </vt:variant>
    </vt:vector>
  </HeadingPairs>
  <TitlesOfParts>
    <vt:vector size="22" baseType="lpstr">
      <vt:lpstr>CONGUAGLI</vt:lpstr>
      <vt:lpstr>Dati 19-09-2023 22.58.39</vt:lpstr>
      <vt:lpstr>Dati 19-09-2023 22.58.29</vt:lpstr>
      <vt:lpstr>Dati 19-09-2023 22.56.38</vt:lpstr>
      <vt:lpstr>Dati 19-09-2023 22.55.58</vt:lpstr>
      <vt:lpstr>Dati 19-09-2023 22.40.42</vt:lpstr>
      <vt:lpstr>Dati 19-09-2023 22.40.18</vt:lpstr>
      <vt:lpstr>Dati 19-09-2023 22.39.11</vt:lpstr>
      <vt:lpstr>Dati 19-09-2023 22.37.28</vt:lpstr>
      <vt:lpstr>Dati 19-09-2023 22.36.56</vt:lpstr>
      <vt:lpstr>Dati 19-09-2023 22.35.34</vt:lpstr>
      <vt:lpstr>Dati 19-09-2023 22.34.19</vt:lpstr>
      <vt:lpstr>Dati 19-09-2023 22.32.40</vt:lpstr>
      <vt:lpstr>Dati 19-09-2023 22.31.46</vt:lpstr>
      <vt:lpstr>Dati 19-09-2023 22.31.00</vt:lpstr>
      <vt:lpstr>Dati 19-09-2023 22.23.16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2023-09-19T20:59:29Z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