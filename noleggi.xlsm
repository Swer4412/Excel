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0" codeName="{62F9E958-00F4-224C-1CEB-3A4BEE276A53}"/>
  <workbookPr filterPrivacy="1" codeName="Questa_cartella_di_lavoro"/>
  <xr:revisionPtr revIDLastSave="0" documentId="13_ncr:1_{1D38E262-7615-418E-9917-683D6981ADB1}" xr6:coauthVersionLast="47" xr6:coauthVersionMax="47" xr10:uidLastSave="{00000000-0000-0000-0000-000000000000}"/>
  <bookViews>
    <workbookView xWindow="-120" yWindow="-120" windowWidth="29040" windowHeight="15720" tabRatio="847" activeTab="2" xr2:uid="{00000000-000D-0000-FFFF-FFFF00000000}"/>
  </bookViews>
  <sheets>
    <sheet name="CONGUAGLI" sheetId="6" r:id="rId1"/>
    <sheet name="scaduti" sheetId="8" r:id="rId2"/>
    <sheet name="Dati Stampanti" sheetId="75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9"/>
  <definedNames>
    <definedName name="_xlnm._FilterDatabase" localSheetId="0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I33" i="6"/>
  <c r="J33" i="6" s="1"/>
  <c r="I46" i="6"/>
  <c r="J46" i="6" s="1"/>
  <c r="I34" i="6"/>
  <c r="J34" i="6" s="1"/>
  <c r="O15" i="7" l="1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C1" i="6"/>
  <c r="I26" i="6"/>
  <c r="J26" i="6" s="1"/>
  <c r="I13" i="6"/>
  <c r="J13" i="6" s="1"/>
  <c r="I47" i="6"/>
  <c r="J47" i="6" s="1"/>
  <c r="G11" i="7" l="1"/>
  <c r="I4" i="6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<sst xmlns="http://schemas.openxmlformats.org/spreadsheetml/2006/main" count="911" uniqueCount="404">
  <si>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</si>
  <si>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</si>
  <si>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</si>
  <si>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</si>
  <si>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</si>
  <si>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</si>
  <si>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</si>
  <si>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</si>
  <si>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</si>
  <si>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</si>
  <si>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</si>
  <si>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</si>
  <si>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</si>
  <si>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</si>
  <si>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</si>
  <si>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</si>
  <si>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</si>
  <si>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</si>
  <si>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</si>
  <si>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</si>
  <si>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</si>
  <si>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</si>
  <si>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</si>
  <si>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</si>
  <si>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</si>
  <si>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</si>
  <si>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</si>
  <si>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</si>
  <si>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</si>
  <si>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</si>
  <si>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</si>
  <si>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</si>
  <si>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</si>
  <si>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</si>
  <si>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</si>
  <si>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</si>
  <si>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</si>
  <si>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</si>
  <si>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</si>
  <si>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</si>
  <si>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</si>
  <si>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</si>
  <si>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</si>
  <si>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</si>
  <si>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</si>
  <si>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</si>
  <si>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</si>
  <si>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</si>
  <si>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</si>
  <si>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</si>
  <si>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</si>
  <si>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</si>
  <si>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</si>
  <si>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</si>
  <si>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</si>
  <si>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</si>
  <si>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</si>
  <si>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</si>
  <si>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</si>
  <si>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</si>
  <si>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</si>
  <si>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</si>
  <si>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</si>
  <si>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</si>
  <si>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</si>
  <si>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</si>
  <si>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</si>
  <si>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</si>
  <si>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</si>
  <si>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</si>
  <si>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</si>
  <si>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</si>
  <si>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</si>
  <si>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</si>
  <si>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</si>
  <si>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</si>
  <si>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</si>
  <si>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</si>
  <si>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</si>
  <si>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</si>
  <si>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</si>
  <si>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</si>
  <si>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</si>
  <si>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</si>
  <si>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</si>
  <si>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</si>
  <si>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</si>
  <si>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</si>
  <si>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</si>
  <si>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</si>
  <si>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</si>
  <si>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</si>
  <si>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</si>
  <si>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</si>
  <si>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</si>
  <si>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</si>
  <si>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</si>
  <si>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</si>
  <si>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</si>
  <si>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</si>
  <si>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</si>
  <si>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</si>
  <si>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</si>
  <si>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</si>
  <si>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</si>
  <si>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</si>
  <si>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</si>
  <si>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</si>
  <si>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</si>
  <si>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</si>
  <si>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</si>
  <si>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</si>
  <si>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</si>
  <si>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</si>
  <si>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</si>
  <si>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</si>
  <si>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</si>
  <si>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</si>
  <si>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</si>
  <si>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</si>
  <si>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</si>
  <si>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</si>
  <si>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</si>
  <si>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</si>
  <si>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</si>
  <si>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</si>
  <si>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</si>
  <si>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</si>
  <si>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</si>
  <si>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</si>
  <si>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</si>
  <si>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</si>
  <si>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</si>
  <si>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</si>
  <si>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</si>
  <si>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</si>
  <si>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</si>
  <si>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</si>
  <si>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</si>
  <si>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</si>
  <si>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</si>
  <si>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</si>
  <si>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</si>
  <si>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</si>
  <si>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</si>
  <si>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</si>
  <si>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</si>
  <si>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</si>
  <si>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</si>
  <si>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</si>
  <si>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</si>
  <si>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</si>
  <si>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</si>
  <si>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</si>
  <si>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</si>
  <si>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</si>
  <si>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</si>
  <si>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</si>
  <si>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</si>
  <si>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</si>
  <si>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</si>
  <si>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</si>
  <si>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</si>
  <si>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</si>
  <si>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</si>
  <si>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</si>
  <si>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</si>
  <si>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</si>
  <si>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</si>
  <si>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</si>
  <si>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</si>
  <si>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</si>
  <si>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</si>
  <si>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</si>
  <si>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</si>
  <si>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</si>
  <si>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</si>
  <si>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</si>
  <si>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</si>
  <si>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</si>
  <si>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</si>
  <si>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</si>
  <si>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</si>
  <si>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</si>
  <si>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</si>
  <si>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</si>
  <si>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</si>
  <si>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</si>
  <si>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</si>
  <si>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</si>
  <si>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</si>
  <si>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</si>
  <si>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</si>
  <si>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</si>
  <si>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</si>
  <si>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</si>
  <si>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</si>
  <si>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</si>
  <si>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</si>
  <si>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</si>
  <si>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</si>
  <si>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</si>
  <si>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</si>
  <si>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</si>
  <si>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</si>
  <si>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</si>
  <si>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</si>
  <si>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</si>
  <si>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</si>
  <si>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</si>
  <si>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</si>
  <si>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</si>
  <si>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</si>
  <si>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</si>
  <si>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</si>
  <si>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</si>
  <si>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</si>
  <si>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</si>
  <si>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</si>
  <si>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</si>
  <si>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</si>
  <si>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</si>
  <si>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</si>
  <si>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</si>
  <si>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</si>
  <si>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</si>
  <si>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</si>
  <si>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</si>
  <si>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</si>
  <si>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</si>
  <si>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</si>
  <si>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</si>
  <si>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</si>
  <si>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</si>
  <si>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</si>
  <si>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</si>
  <si>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</si>
  <si>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</si>
  <si>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</si>
  <si>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</si>
  <si>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</si>
  <si>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</si>
  <si>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</si>
  <si>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</si>
  <si>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</si>
  <si>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</si>
  <si>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</si>
  <si>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</si>
  <si>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</si>
  <si>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</si>
  <si>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</si>
  <si>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</si>
  <si>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</si>
  <si>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</si>
  <si>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</si>
  <si>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</si>
  <si>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</si>
  <si>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</si>
  <si>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</si>
  <si>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</si>
  <si>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</si>
  <si>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</si>
  <si>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</si>
  <si>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</si>
  <si>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</si>
  <si>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</si>
  <si>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</si>
  <si>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</si>
  <si>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</si>
  <si>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</si>
  <si>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</si>
  <si>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</si>
  <si>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</si>
  <si>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</si>
  <si>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</si>
  <si>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</si>
  <si>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</si>
  <si>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</si>
  <si>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</si>
  <si>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</si>
  <si>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</si>
  <si>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</si>
  <si>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</si>
  <si>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</si>
  <si>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</si>
  <si>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</si>
  <si>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</si>
  <si>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</si>
  <si>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</si>
  <si>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</si>
  <si>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</si>
  <si>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</si>
  <si>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</si>
  <si>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</si>
  <si>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</si>
  <si>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</si>
  <si>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</si>
  <si>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</si>
  <si>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</si>
  <si>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</si>
  <si>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</si>
  <si>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</si>
  <si>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</si>
  <si>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</si>
  <si>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</si>
  <si>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</si>
  <si>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</si>
  <si>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</si>
  <si>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</si>
  <si>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</si>
  <si>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</si>
  <si>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</si>
  <si>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</si>
  <si>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</si>
  <si>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</si>
  <si>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</si>
  <si>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</si>
  <si>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</si>
  <si>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</si>
  <si>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</si>
  <si>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</si>
  <si>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</si>
  <si>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</si>
  <si>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</si>
  <si>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</si>
  <si>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</si>
  <si>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</si>
  <si>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</si>
  <si>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</si>
  <si>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</si>
  <si>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</si>
  <si>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</si>
  <si>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</si>
  <si>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</si>
  <si>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</si>
  <si>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</si>
  <si>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</si>
  <si>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</si>
  <si>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</si>
  <si>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</si>
  <si>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</si>
  <si>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</si>
  <si>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</si>
  <si>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</si>
  <si>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</si>
  <si>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</si>
  <si>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</si>
  <si>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</si>
  <si>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</si>
  <si>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</si>
  <si>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</si>
  <si>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</si>
  <si>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</si>
  <si>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</si>
  <si>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</si>
  <si>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</si>
  <si>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</si>
  <si>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</si>
  <si>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</si>
  <si>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eurozeta-ta@e-send.it</t>
  </si>
  <si>
    <t>stampantiflligelmini@e-send.it</t>
  </si>
  <si>
    <t>Pagine nero</t>
  </si>
  <si>
    <t>Pagine colore</t>
  </si>
  <si>
    <t>Riga corrispondente</t>
  </si>
  <si>
    <t>ta2506europroject@e-send.it</t>
  </si>
  <si>
    <t>ta2540isavar@e-send.it</t>
  </si>
  <si>
    <t>Numero seriale</t>
  </si>
  <si>
    <t>Data email</t>
  </si>
  <si>
    <t xml:space="preserve">          RGT0512106</t>
  </si>
  <si>
    <t xml:space="preserve">          VFL7508161</t>
  </si>
  <si>
    <t xml:space="preserve">          VG67403609</t>
  </si>
  <si>
    <t xml:space="preserve">          RGT9503983</t>
  </si>
  <si>
    <t xml:space="preserve">          RGT9X07014</t>
  </si>
  <si>
    <t xml:space="preserve">          VFL8720210</t>
  </si>
  <si>
    <t xml:space="preserve">          VFL8317753</t>
  </si>
  <si>
    <t xml:space="preserve">          VFL7709773</t>
  </si>
  <si>
    <t xml:space="preserve">          VFL7508687</t>
  </si>
  <si>
    <t xml:space="preserve">          VFL7508644</t>
  </si>
  <si>
    <t xml:space="preserve">          VFL7609079</t>
  </si>
  <si>
    <t xml:space="preserve">          VFL7811819</t>
  </si>
  <si>
    <t xml:space="preserve">          VFL7913139</t>
  </si>
  <si>
    <t xml:space="preserve">          VFL8418516</t>
  </si>
  <si>
    <t xml:space="preserve">          RGT9402764</t>
  </si>
  <si>
    <t xml:space="preserve">          VRJ8609611</t>
  </si>
  <si>
    <t xml:space="preserve">          R899502232</t>
  </si>
  <si>
    <t xml:space="preserve">          R899502231</t>
  </si>
  <si>
    <t xml:space="preserve">          R9C1617986</t>
  </si>
  <si>
    <t xml:space="preserve">          VFL8720211</t>
  </si>
  <si>
    <t xml:space="preserve">          VFL7709758</t>
  </si>
  <si>
    <t xml:space="preserve">          RGT1117200</t>
  </si>
  <si>
    <t xml:space="preserve">          VFL8720166</t>
  </si>
  <si>
    <t xml:space="preserve">          H571Z08666</t>
  </si>
  <si>
    <t xml:space="preserve">          VQ18Y03640</t>
  </si>
  <si>
    <t xml:space="preserve">          R899903428</t>
  </si>
  <si>
    <t xml:space="preserve">          RGT9X06853</t>
  </si>
  <si>
    <t xml:space="preserve">          RGT0512157</t>
  </si>
  <si>
    <t xml:space="preserve">          RGQ0704971</t>
  </si>
  <si>
    <t xml:space="preserve">          VFL8720189</t>
  </si>
  <si>
    <t xml:space="preserve">          RGT1116980</t>
  </si>
  <si>
    <t xml:space="preserve">          RGT1317898</t>
  </si>
  <si>
    <t xml:space="preserve">          H572111536</t>
  </si>
  <si>
    <t xml:space="preserve">          R659Z02940</t>
  </si>
  <si>
    <t xml:space="preserve">          H571Z08754</t>
  </si>
  <si>
    <t xml:space="preserve">          RGQ0Y06193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</si>
</sst>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 xr:uid="{00000000-0005-0000-0000-000002000000}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a2507fmrecuperi@e-send.it" TargetMode="External"/><Relationship Id="rId1" Type="http://schemas.openxmlformats.org/officeDocument/2006/relationships/hyperlink" Target="mailto:ta3508cimedeatsrl@e-sent.it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opLeftCell="B1" zoomScale="85" zoomScaleNormal="85" workbookViewId="0">
      <pane ySplit="2700" topLeftCell="A21" activePane="bottomLeft"/>
      <selection activeCell="V1" sqref="V1"/>
      <selection pane="bottomLeft" activeCell="D2" sqref="D2"/>
    </sheetView>
  </sheetViews>
  <sheetFormatPr defaultRowHeight="15" outlineLevelCol="1" x14ac:dyDescent="0.25"/>
  <cols>
    <col min="1" max="1" width="6.42578125" hidden="1" customWidth="1"/>
    <col min="2" max="2" width="35.28515625" customWidth="1"/>
    <col min="3" max="3" width="21.28515625" customWidth="1"/>
    <col min="4" max="4" width="16.28515625" style="23" customWidth="1"/>
    <col min="5" max="5" width="7.140625" style="224" hidden="1" customWidth="1" outlineLevel="1"/>
    <col min="6" max="6" width="12.28515625" style="23" hidden="1" customWidth="1" outlineLevel="1"/>
    <col min="7" max="7" width="16.7109375" style="23" hidden="1" customWidth="1" outlineLevel="1"/>
    <col min="8" max="8" width="12.85546875" style="82" customWidth="1" collapsed="1"/>
    <col min="9" max="9" width="12.7109375" style="183" hidden="1" customWidth="1"/>
    <col min="10" max="10" width="12.7109375" style="185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hidden="1" customWidth="1" outlineLevel="1"/>
    <col min="27" max="27" width="9" style="3" hidden="1" customWidth="1" outlineLevel="1"/>
    <col min="28" max="28" width="8.42578125" style="3" hidden="1" customWidth="1" outlineLevel="1"/>
    <col min="29" max="29" width="9.140625" hidden="1" customWidth="1" outlineLevel="1"/>
    <col min="30" max="30" width="9" hidden="1" customWidth="1" outlineLevel="1"/>
    <col min="31" max="31" width="8.5703125" hidden="1" customWidth="1" outlineLevel="1"/>
    <col min="32" max="32" width="9.5703125" style="7" hidden="1" customWidth="1" outlineLevel="1"/>
    <col min="33" max="33" width="8.140625" style="7" hidden="1" customWidth="1" outlineLevel="1"/>
    <col min="34" max="34" width="13.140625" customWidth="1" collapsed="1"/>
    <col min="35" max="35" width="13.140625" customWidth="1"/>
    <col min="36" max="36" width="12" style="91" hidden="1" customWidth="1" outlineLevel="1"/>
    <col min="37" max="37" width="12.5703125" style="91" hidden="1" customWidth="1" outlineLevel="1"/>
    <col min="38" max="39" width="9.140625" hidden="1" customWidth="1" outlineLevel="1"/>
    <col min="40" max="40" width="9.140625" style="2" hidden="1" customWidth="1" outlineLevel="1"/>
    <col min="41" max="41" width="10.140625" style="2" hidden="1" customWidth="1" outlineLevel="1"/>
    <col min="42" max="42" width="10.85546875" style="2" hidden="1" customWidth="1" outlineLevel="1"/>
    <col min="43" max="43" width="10.85546875" style="181" customWidth="1" collapsed="1"/>
    <col min="44" max="44" width="37.28515625" customWidth="1"/>
    <col min="45" max="45" width="24.5703125" customWidth="1"/>
    <col min="46" max="46" width="11.7109375" customWidth="1"/>
  </cols>
  <sheetData>
    <row r="1" spans="1:46" s="245" customFormat="1" ht="114" customHeight="1" x14ac:dyDescent="0.25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25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25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25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25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25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25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25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25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25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25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25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25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25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25">
      <c r="B15" s="269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25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25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25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25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25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25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25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25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25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25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25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25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25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25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25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25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25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25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25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25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25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25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25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25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25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25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25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25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25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25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25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25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25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25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25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25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25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25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25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25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25">
      <c r="E63" s="274"/>
    </row>
    <row r="64" spans="2:46" x14ac:dyDescent="0.25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25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25">
      <c r="E66" s="274" t="s">
        <v>352</v>
      </c>
    </row>
  </sheetData>
  <autoFilter ref="A1:AS54" xr:uid="{00000000-0009-0000-0000-000000000000}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 xr:uid="{00000000-0004-0000-0000-000000000000}"/>
    <hyperlink ref="B15" r:id="rId2" xr:uid="{00000000-0004-0000-0000-000001000000}"/>
  </hyperlinks>
  <pageMargins left="0.7" right="0.7" top="0.75" bottom="0.75" header="0.3" footer="0.3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B18" sqref="B18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25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25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25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25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25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25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25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25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9A40F-966D-4A2C-BC9F-AE8CDFAFF750}">
  <dimension ref="A1:F37"/>
  <sheetViews>
    <sheetView tabSelected="1" workbookViewId="0">
      <selection activeCell="G12" sqref="G12"/>
    </sheetView>
  </sheetViews>
  <sheetFormatPr defaultRowHeight="15" x14ac:dyDescent="0.25"/>
  <cols>
    <col min="1" max="1" width="34" bestFit="1" customWidth="1"/>
    <col min="2" max="2" width="16.28515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19" bestFit="1" customWidth="1"/>
  </cols>
  <sheetData>
    <row r="1" spans="1:6" x14ac:dyDescent="0.25">
      <c r="A1" t="s">
        <v>358</v>
      </c>
      <c r="B1" t="s">
        <v>366</v>
      </c>
      <c r="C1" t="s">
        <v>367</v>
      </c>
      <c r="D1" t="s">
        <v>361</v>
      </c>
      <c r="E1" t="s">
        <v>362</v>
      </c>
      <c r="F1" t="s">
        <v>363</v>
      </c>
    </row>
    <row r="2" spans="1:6" x14ac:dyDescent="0.25">
      <c r="A2" t="s">
        <v>152</v>
      </c>
      <c r="B2" t="s">
        <v>374</v>
      </c>
      <c r="C2" s="278">
        <v>45083.490694444445</v>
      </c>
      <c r="D2">
        <v>184950</v>
      </c>
      <c r="E2">
        <v>31068</v>
      </c>
      <c r="F2">
        <v>2</v>
      </c>
    </row>
    <row r="3" spans="1:6" x14ac:dyDescent="0.25">
      <c r="A3" t="s">
        <v>186</v>
      </c>
      <c r="B3" t="s">
        <v>399</v>
      </c>
      <c r="C3" s="278">
        <v>45078.00199074074</v>
      </c>
      <c r="D3">
        <v>13037</v>
      </c>
      <c r="E3">
        <v>16790</v>
      </c>
      <c r="F3">
        <v>3</v>
      </c>
    </row>
    <row r="4" spans="1:6" x14ac:dyDescent="0.25">
      <c r="A4" t="s">
        <v>207</v>
      </c>
      <c r="B4" t="s">
        <v>400</v>
      </c>
      <c r="C4" s="278">
        <v>45078.001840277779</v>
      </c>
      <c r="D4">
        <v>15803</v>
      </c>
      <c r="E4">
        <v>12172</v>
      </c>
      <c r="F4">
        <v>4</v>
      </c>
    </row>
    <row r="5" spans="1:6" x14ac:dyDescent="0.25">
      <c r="A5" t="s">
        <v>154</v>
      </c>
      <c r="B5" t="s">
        <v>387</v>
      </c>
      <c r="C5" s="278">
        <v>45079.751759259256</v>
      </c>
      <c r="D5">
        <v>105444</v>
      </c>
      <c r="E5">
        <v>24258</v>
      </c>
      <c r="F5">
        <v>5</v>
      </c>
    </row>
    <row r="6" spans="1:6" x14ac:dyDescent="0.25">
      <c r="A6" t="s">
        <v>155</v>
      </c>
      <c r="B6" t="s">
        <v>384</v>
      </c>
      <c r="C6" s="278">
        <v>45081.002175925925</v>
      </c>
      <c r="D6">
        <v>250377</v>
      </c>
      <c r="E6">
        <v>0</v>
      </c>
      <c r="F6">
        <v>6</v>
      </c>
    </row>
    <row r="7" spans="1:6" x14ac:dyDescent="0.25">
      <c r="A7" t="s">
        <v>156</v>
      </c>
      <c r="B7" t="s">
        <v>385</v>
      </c>
      <c r="C7" s="278">
        <v>45081.001423611109</v>
      </c>
      <c r="D7">
        <v>105538</v>
      </c>
      <c r="E7">
        <v>0</v>
      </c>
      <c r="F7">
        <v>7</v>
      </c>
    </row>
    <row r="8" spans="1:6" x14ac:dyDescent="0.25">
      <c r="A8" t="s">
        <v>153</v>
      </c>
      <c r="B8" t="s">
        <v>386</v>
      </c>
      <c r="C8" s="278">
        <v>45080.042256944442</v>
      </c>
      <c r="D8">
        <v>25534</v>
      </c>
      <c r="E8">
        <v>0</v>
      </c>
      <c r="F8">
        <v>8</v>
      </c>
    </row>
    <row r="9" spans="1:6" x14ac:dyDescent="0.25">
      <c r="A9" t="s">
        <v>157</v>
      </c>
      <c r="B9" t="s">
        <v>403</v>
      </c>
      <c r="C9" s="278">
        <v>45078.000486111108</v>
      </c>
      <c r="D9">
        <v>93640</v>
      </c>
      <c r="E9">
        <v>28444</v>
      </c>
      <c r="F9">
        <v>9</v>
      </c>
    </row>
    <row r="10" spans="1:6" x14ac:dyDescent="0.25">
      <c r="A10" t="s">
        <v>158</v>
      </c>
      <c r="B10" t="s">
        <v>380</v>
      </c>
      <c r="C10" s="278">
        <v>45082.289699074077</v>
      </c>
      <c r="D10">
        <v>125354</v>
      </c>
      <c r="E10">
        <v>19284</v>
      </c>
      <c r="F10">
        <v>10</v>
      </c>
    </row>
    <row r="11" spans="1:6" x14ac:dyDescent="0.25">
      <c r="A11" t="s">
        <v>178</v>
      </c>
      <c r="B11" t="s">
        <v>382</v>
      </c>
      <c r="C11" s="278">
        <v>45081.960219907407</v>
      </c>
      <c r="D11">
        <v>29449</v>
      </c>
      <c r="E11">
        <v>4672</v>
      </c>
      <c r="F11">
        <v>11</v>
      </c>
    </row>
    <row r="12" spans="1:6" x14ac:dyDescent="0.25">
      <c r="A12" t="s">
        <v>206</v>
      </c>
      <c r="B12" t="s">
        <v>388</v>
      </c>
      <c r="C12" s="278">
        <v>45078.700590277775</v>
      </c>
      <c r="D12">
        <v>127663</v>
      </c>
      <c r="E12">
        <v>82149</v>
      </c>
      <c r="F12">
        <v>13</v>
      </c>
    </row>
    <row r="13" spans="1:6" x14ac:dyDescent="0.25">
      <c r="A13" t="s">
        <v>160</v>
      </c>
      <c r="B13" t="s">
        <v>368</v>
      </c>
      <c r="C13" s="278">
        <v>45085.24664351852</v>
      </c>
      <c r="D13">
        <v>26912</v>
      </c>
      <c r="E13">
        <v>17031</v>
      </c>
      <c r="F13">
        <v>15</v>
      </c>
    </row>
    <row r="14" spans="1:6" x14ac:dyDescent="0.25">
      <c r="A14" t="s">
        <v>161</v>
      </c>
      <c r="B14" t="s">
        <v>394</v>
      </c>
      <c r="C14" s="278">
        <v>45078.04351851852</v>
      </c>
      <c r="D14">
        <v>36167</v>
      </c>
      <c r="E14">
        <v>20215</v>
      </c>
      <c r="F14">
        <v>16</v>
      </c>
    </row>
    <row r="15" spans="1:6" x14ac:dyDescent="0.25">
      <c r="A15" t="s">
        <v>162</v>
      </c>
      <c r="B15" t="s">
        <v>372</v>
      </c>
      <c r="C15" s="278">
        <v>45083.627187500002</v>
      </c>
      <c r="D15">
        <v>67305</v>
      </c>
      <c r="E15">
        <v>5117</v>
      </c>
      <c r="F15">
        <v>18</v>
      </c>
    </row>
    <row r="16" spans="1:6" x14ac:dyDescent="0.25">
      <c r="A16" t="s">
        <v>163</v>
      </c>
      <c r="B16" t="s">
        <v>369</v>
      </c>
      <c r="C16" s="278">
        <v>45084.328298611108</v>
      </c>
      <c r="D16">
        <v>237262</v>
      </c>
      <c r="E16">
        <v>40034</v>
      </c>
      <c r="F16">
        <v>19</v>
      </c>
    </row>
    <row r="17" spans="1:6" x14ac:dyDescent="0.25">
      <c r="A17" t="s">
        <v>164</v>
      </c>
      <c r="B17" t="s">
        <v>377</v>
      </c>
      <c r="C17" s="278">
        <v>45082.356782407405</v>
      </c>
      <c r="D17">
        <v>41819</v>
      </c>
      <c r="E17">
        <v>34550</v>
      </c>
      <c r="F17">
        <v>20</v>
      </c>
    </row>
    <row r="18" spans="1:6" x14ac:dyDescent="0.25">
      <c r="A18" t="s">
        <v>165</v>
      </c>
      <c r="B18" t="s">
        <v>378</v>
      </c>
      <c r="C18" s="278">
        <v>45082.325046296297</v>
      </c>
      <c r="D18">
        <v>45641</v>
      </c>
      <c r="E18">
        <v>8333</v>
      </c>
      <c r="F18">
        <v>21</v>
      </c>
    </row>
    <row r="19" spans="1:6" x14ac:dyDescent="0.25">
      <c r="A19" t="s">
        <v>166</v>
      </c>
      <c r="B19" t="s">
        <v>397</v>
      </c>
      <c r="C19" s="278">
        <v>45078.043240740742</v>
      </c>
      <c r="D19">
        <v>71365</v>
      </c>
      <c r="E19">
        <v>33612</v>
      </c>
      <c r="F19">
        <v>22</v>
      </c>
    </row>
    <row r="20" spans="1:6" x14ac:dyDescent="0.25">
      <c r="A20" t="s">
        <v>179</v>
      </c>
      <c r="B20" t="s">
        <v>398</v>
      </c>
      <c r="C20" s="278">
        <v>45078.00203703704</v>
      </c>
      <c r="D20">
        <v>39047</v>
      </c>
      <c r="E20">
        <v>12348</v>
      </c>
      <c r="F20">
        <v>23</v>
      </c>
    </row>
    <row r="21" spans="1:6" x14ac:dyDescent="0.25">
      <c r="A21" t="s">
        <v>167</v>
      </c>
      <c r="B21" t="s">
        <v>395</v>
      </c>
      <c r="C21" s="278">
        <v>45078.043506944443</v>
      </c>
      <c r="D21">
        <v>39920</v>
      </c>
      <c r="E21">
        <v>42772</v>
      </c>
      <c r="F21">
        <v>27</v>
      </c>
    </row>
    <row r="22" spans="1:6" x14ac:dyDescent="0.25">
      <c r="A22" t="s">
        <v>159</v>
      </c>
      <c r="B22" t="s">
        <v>379</v>
      </c>
      <c r="C22" s="278">
        <v>45082.291250000002</v>
      </c>
      <c r="D22">
        <v>24926</v>
      </c>
      <c r="E22">
        <v>16978</v>
      </c>
      <c r="F22">
        <v>28</v>
      </c>
    </row>
    <row r="23" spans="1:6" x14ac:dyDescent="0.25">
      <c r="A23" t="s">
        <v>169</v>
      </c>
      <c r="B23" t="s">
        <v>396</v>
      </c>
      <c r="C23" s="278">
        <v>45078.043437499997</v>
      </c>
      <c r="D23">
        <v>115529</v>
      </c>
      <c r="E23">
        <v>80855</v>
      </c>
      <c r="F23">
        <v>30</v>
      </c>
    </row>
    <row r="24" spans="1:6" x14ac:dyDescent="0.25">
      <c r="A24" t="s">
        <v>195</v>
      </c>
      <c r="B24" t="s">
        <v>391</v>
      </c>
      <c r="C24" s="278">
        <v>45078.084780092591</v>
      </c>
      <c r="D24">
        <v>13555</v>
      </c>
      <c r="E24">
        <v>8129</v>
      </c>
      <c r="F24">
        <v>31</v>
      </c>
    </row>
    <row r="25" spans="1:6" x14ac:dyDescent="0.25">
      <c r="A25" t="s">
        <v>187</v>
      </c>
      <c r="B25" t="s">
        <v>389</v>
      </c>
      <c r="C25" s="278">
        <v>45078.36278935185</v>
      </c>
      <c r="D25">
        <v>19721</v>
      </c>
      <c r="E25">
        <v>4079</v>
      </c>
      <c r="F25">
        <v>35</v>
      </c>
    </row>
    <row r="26" spans="1:6" x14ac:dyDescent="0.25">
      <c r="A26" t="s">
        <v>203</v>
      </c>
      <c r="B26" t="s">
        <v>402</v>
      </c>
      <c r="C26" s="278">
        <v>45078.001793981479</v>
      </c>
      <c r="D26">
        <v>50055</v>
      </c>
      <c r="E26">
        <v>3566</v>
      </c>
      <c r="F26">
        <v>36</v>
      </c>
    </row>
    <row r="27" spans="1:6" x14ac:dyDescent="0.25">
      <c r="A27" t="s">
        <v>170</v>
      </c>
      <c r="B27" t="s">
        <v>371</v>
      </c>
      <c r="C27" s="278">
        <v>45083.7112037037</v>
      </c>
      <c r="D27">
        <v>66066</v>
      </c>
      <c r="E27">
        <v>41620</v>
      </c>
      <c r="F27">
        <v>40</v>
      </c>
    </row>
    <row r="28" spans="1:6" x14ac:dyDescent="0.25">
      <c r="A28" t="s">
        <v>172</v>
      </c>
      <c r="B28" t="s">
        <v>376</v>
      </c>
      <c r="C28" s="278">
        <v>45083.43644675926</v>
      </c>
      <c r="D28">
        <v>116380</v>
      </c>
      <c r="E28">
        <v>31169</v>
      </c>
      <c r="F28">
        <v>44</v>
      </c>
    </row>
    <row r="29" spans="1:6" x14ac:dyDescent="0.25">
      <c r="A29" t="s">
        <v>173</v>
      </c>
      <c r="B29" t="s">
        <v>370</v>
      </c>
      <c r="C29" s="278">
        <v>45084.32571759259</v>
      </c>
      <c r="D29">
        <v>394533</v>
      </c>
      <c r="E29">
        <v>21393</v>
      </c>
      <c r="F29">
        <v>45</v>
      </c>
    </row>
    <row r="30" spans="1:6" x14ac:dyDescent="0.25">
      <c r="A30" t="s">
        <v>180</v>
      </c>
      <c r="B30" t="s">
        <v>392</v>
      </c>
      <c r="C30" s="278">
        <v>45078.044004629628</v>
      </c>
      <c r="D30">
        <v>175476</v>
      </c>
      <c r="E30">
        <v>0</v>
      </c>
      <c r="F30">
        <v>49</v>
      </c>
    </row>
    <row r="31" spans="1:6" x14ac:dyDescent="0.25">
      <c r="A31" t="s">
        <v>174</v>
      </c>
      <c r="B31" t="s">
        <v>393</v>
      </c>
      <c r="C31" s="278">
        <v>45078.043657407405</v>
      </c>
      <c r="D31">
        <v>163703</v>
      </c>
      <c r="E31">
        <v>0</v>
      </c>
      <c r="F31">
        <v>50</v>
      </c>
    </row>
    <row r="32" spans="1:6" x14ac:dyDescent="0.25">
      <c r="A32" t="s">
        <v>175</v>
      </c>
      <c r="B32" t="s">
        <v>373</v>
      </c>
      <c r="C32" s="278">
        <v>45083.600173611114</v>
      </c>
      <c r="D32">
        <v>38531</v>
      </c>
      <c r="E32">
        <v>5872</v>
      </c>
      <c r="F32">
        <v>51</v>
      </c>
    </row>
    <row r="33" spans="1:6" x14ac:dyDescent="0.25">
      <c r="A33" t="s">
        <v>176</v>
      </c>
      <c r="B33" t="s">
        <v>375</v>
      </c>
      <c r="C33" s="278">
        <v>45083.464317129627</v>
      </c>
      <c r="D33">
        <v>100077</v>
      </c>
      <c r="E33">
        <v>43009</v>
      </c>
      <c r="F33">
        <v>52</v>
      </c>
    </row>
    <row r="34" spans="1:6" x14ac:dyDescent="0.25">
      <c r="A34" t="s">
        <v>359</v>
      </c>
      <c r="B34" t="s">
        <v>381</v>
      </c>
      <c r="C34" s="278">
        <v>45082.285439814812</v>
      </c>
      <c r="D34">
        <v>21709</v>
      </c>
      <c r="E34">
        <v>46488</v>
      </c>
      <c r="F34" t="s">
        <v>42</v>
      </c>
    </row>
    <row r="35" spans="1:6" x14ac:dyDescent="0.25">
      <c r="A35" t="s">
        <v>360</v>
      </c>
      <c r="B35" t="s">
        <v>383</v>
      </c>
      <c r="C35" s="278">
        <v>45081.291770833333</v>
      </c>
      <c r="D35">
        <v>52839</v>
      </c>
      <c r="E35">
        <v>0</v>
      </c>
      <c r="F35" t="s">
        <v>42</v>
      </c>
    </row>
    <row r="36" spans="1:6" x14ac:dyDescent="0.25">
      <c r="A36" t="s">
        <v>364</v>
      </c>
      <c r="B36" t="s">
        <v>390</v>
      </c>
      <c r="C36" s="278">
        <v>45078.317557870374</v>
      </c>
      <c r="D36">
        <v>40580</v>
      </c>
      <c r="E36">
        <v>22413</v>
      </c>
      <c r="F36" t="s">
        <v>42</v>
      </c>
    </row>
    <row r="37" spans="1:6" x14ac:dyDescent="0.25">
      <c r="A37" t="s">
        <v>365</v>
      </c>
      <c r="B37" t="s">
        <v>401</v>
      </c>
      <c r="C37" s="278">
        <v>45078.001840277779</v>
      </c>
      <c r="D37">
        <v>81579</v>
      </c>
      <c r="E37">
        <v>0</v>
      </c>
      <c r="F37" t="s">
        <v>42</v>
      </c>
    </row>
  </sheetData>
  <sortState xmlns:xlrd2="http://schemas.microsoft.com/office/spreadsheetml/2017/richdata2" ref="A2:F37">
    <sortCondition ref="F1:F3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25">
      <c r="F4" s="200">
        <f>SUM(F6:F8)</f>
        <v>4582</v>
      </c>
      <c r="K4" s="263"/>
      <c r="R4" s="125"/>
      <c r="V4" s="125"/>
      <c r="W4" s="264"/>
    </row>
    <row r="5" spans="5:23" x14ac:dyDescent="0.25">
      <c r="K5" s="263"/>
      <c r="R5" s="125" t="s">
        <v>320</v>
      </c>
      <c r="V5" s="125" t="s">
        <v>321</v>
      </c>
      <c r="W5" s="264"/>
    </row>
    <row r="6" spans="5:23" x14ac:dyDescent="0.25">
      <c r="E6" t="s">
        <v>214</v>
      </c>
      <c r="F6" s="1">
        <v>3317</v>
      </c>
      <c r="K6" s="263"/>
      <c r="R6" s="125"/>
      <c r="V6" s="125"/>
      <c r="W6" s="264"/>
    </row>
    <row r="7" spans="5:23" x14ac:dyDescent="0.25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25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25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25">
      <c r="K10" s="263"/>
      <c r="R10" s="125"/>
      <c r="V10" s="125"/>
      <c r="W10" s="264"/>
    </row>
    <row r="11" spans="5:23" x14ac:dyDescent="0.25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25">
      <c r="K12" s="263"/>
      <c r="R12" s="125"/>
      <c r="W12" s="264"/>
    </row>
    <row r="13" spans="5:23" x14ac:dyDescent="0.25">
      <c r="K13" s="263"/>
      <c r="R13" s="125"/>
      <c r="W13" s="264"/>
    </row>
    <row r="14" spans="5:23" x14ac:dyDescent="0.25">
      <c r="K14" s="263"/>
      <c r="W14" s="264"/>
    </row>
    <row r="15" spans="5:23" x14ac:dyDescent="0.25">
      <c r="K15" s="267" t="s">
        <v>322</v>
      </c>
      <c r="L15" s="7"/>
      <c r="M15" s="7"/>
      <c r="O15">
        <f>V8+V9+L8</f>
        <v>440</v>
      </c>
      <c r="W15" s="264"/>
    </row>
    <row r="16" spans="5:23" x14ac:dyDescent="0.25">
      <c r="K16" s="263"/>
      <c r="W16" s="264"/>
    </row>
    <row r="17" spans="11:23" x14ac:dyDescent="0.25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79" t="s">
        <v>137</v>
      </c>
      <c r="G36" s="279"/>
      <c r="H36" s="279"/>
      <c r="I36" s="279"/>
      <c r="J36" s="279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2023-06-21T20:36:53Z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