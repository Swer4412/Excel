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Questa_cartella_di_lavoro"/>
  <bookViews>
    <workbookView xWindow="-120" yWindow="-120" windowWidth="29040" windowHeight="15720" tabRatio="847"/>
  </bookViews>
  <sheets>
    <sheet name="CONGUAGLI" sheetId="6" r:id="rId1"/>
    <sheet name="scaduti" sheetId="8" r:id="rId2"/>
    <sheet name="conti" sheetId="7" state="hidden" r:id="rId3"/>
    <sheet name="CONGUAGLI  old al 17-6" sheetId="5" state="hidden" r:id="rId4"/>
    <sheet name="noleggi" sheetId="1" state="hidden" r:id="rId5"/>
    <sheet name="CONGUAGLI old o chiusi" sheetId="2" state="hidden" r:id="rId6"/>
    <sheet name="CONTI A4" sheetId="3" state="hidden" r:id="rId7"/>
  </sheets>
  <functionGroups builtInGroupCount="18"/>
  <definedNames>
    <definedName name="_xlnm._FilterDatabase" localSheetId="0" hidden="1">CONGUAGLI!$A$1:$AS$54</definedName>
    <definedName name="_xlnm._FilterDatabase" localSheetId="3" hidden="1">'CONGUAGLI  old al 17-6'!$B$1:$AE$1</definedName>
    <definedName name="_xlnm._FilterDatabase" localSheetId="4" hidden="1">noleggi!$A$1:$N$38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O15" i="7"/>
  <c r="M8" i="7"/>
  <c r="Q8" i="7"/>
  <c r="S8" i="7" s="1"/>
  <c r="V8" i="7" s="1"/>
  <c r="Q9" i="7"/>
  <c r="S9" i="7" s="1"/>
  <c r="V9" i="7" s="1"/>
  <c r="AE10" i="8"/>
  <c r="AG10" i="8" s="1"/>
  <c r="AI10" i="8" s="1"/>
  <c r="AC10" i="8"/>
  <c r="AB10" i="8"/>
  <c r="AD10" i="8" s="1"/>
  <c r="AF10" i="8" s="1"/>
  <c r="AH10" i="8" s="1"/>
  <c r="AA10" i="8"/>
  <c r="Z10" i="8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I7" i="8"/>
  <c r="H7" i="8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AB2" i="8"/>
  <c r="AD2" i="8" s="1"/>
  <c r="AF2" i="8" s="1"/>
  <c r="AH2" i="8" s="1"/>
  <c r="Z2" i="8"/>
  <c r="Y2" i="8"/>
  <c r="AA2" i="8" s="1"/>
  <c r="AC2" i="8" s="1"/>
  <c r="AE2" i="8" s="1"/>
  <c r="AG2" i="8" s="1"/>
  <c r="X2" i="8"/>
  <c r="H2" i="8"/>
  <c r="I2" i="8" s="1"/>
  <c r="AJ1" i="8"/>
  <c r="AI1" i="8"/>
  <c r="AB1" i="8"/>
  <c r="AD1" i="8" s="1"/>
  <c r="AF1" i="8" s="1"/>
  <c r="AH1" i="8" s="1"/>
  <c r="AA1" i="8"/>
  <c r="AC1" i="8" s="1"/>
  <c r="AE1" i="8" s="1"/>
  <c r="AG1" i="8" s="1"/>
  <c r="Z1" i="8"/>
  <c r="Y1" i="8"/>
  <c r="X1" i="8"/>
  <c r="H1" i="8"/>
  <c r="I1" i="8" s="1"/>
  <c r="I33" i="6"/>
  <c r="J33" i="6" s="1"/>
  <c r="I46" i="6"/>
  <c r="J46" i="6" s="1"/>
  <c r="I34" i="6"/>
  <c r="J34" i="6" s="1"/>
  <c r="AC14" i="6" l="1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s="1"/>
  <c r="C1" i="6"/>
  <c r="I26" i="6"/>
  <c r="J26" i="6" s="1"/>
  <c r="I13" i="6"/>
  <c r="J13" i="6" s="1"/>
  <c r="I47" i="6"/>
  <c r="J47" i="6" s="1"/>
  <c r="I4" i="6" l="1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X14" i="5" s="1"/>
  <c r="Z14" i="5" s="1"/>
  <c r="AB14" i="5" s="1"/>
  <c r="AD14" i="5" s="1"/>
  <c r="W14" i="5"/>
  <c r="V15" i="5"/>
  <c r="X15" i="5" s="1"/>
  <c r="Z15" i="5" s="1"/>
  <c r="AB15" i="5" s="1"/>
  <c r="AD15" i="5" s="1"/>
  <c r="W15" i="5"/>
  <c r="Y15" i="5" s="1"/>
  <c r="AA15" i="5" s="1"/>
  <c r="AC15" i="5" s="1"/>
  <c r="AE15" i="5" s="1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X21" i="5" s="1"/>
  <c r="Z21" i="5" s="1"/>
  <c r="AB21" i="5" s="1"/>
  <c r="AD21" i="5" s="1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20" i="5" l="1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X2" i="5" s="1"/>
  <c r="V2" i="5"/>
  <c r="W2" i="5"/>
  <c r="AF2" i="5"/>
  <c r="AG2" i="5"/>
  <c r="Z2" i="5" l="1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R30" i="2" s="1"/>
  <c r="T30" i="2" s="1"/>
  <c r="V30" i="2" s="1"/>
  <c r="X30" i="2" s="1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S29" i="2" s="1"/>
  <c r="U29" i="2" s="1"/>
  <c r="W29" i="2" s="1"/>
  <c r="Y29" i="2" s="1"/>
  <c r="P29" i="2"/>
  <c r="Q29" i="2"/>
  <c r="S30" i="2" l="1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>
  <authors>
    <author>Autore</author>
  </authors>
  <commentLis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>
  <authors>
    <author>Autore</author>
  </authors>
  <commentList>
    <comment ref="R1" authorId="0" shapeId="0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>
  <authors>
    <author>Autore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<sst xmlns="http://schemas.openxmlformats.org/spreadsheetml/2006/main" count="829" uniqueCount="358">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</sst>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79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R1" dT="2019-06-26T09:23:20.44" personId="{00000000-0000-0000-0000-000000000000}" id="{898A6490-503A-4549-84E3-395D39909003}">
    <text>INSERIRE DATA E NUMERO COPIE QUI DOPO AVER COPIATO I DATI PRESENTI NELLE 3 COLONNE PRECEDENTI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a3508cimedeatsrl@e-sent.it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U66"/>
  <sheetViews>
    <sheetView tabSelected="1" topLeftCell="K1" zoomScale="85" zoomScaleNormal="85" workbookViewId="0">
      <pane ySplit="2700" activePane="bottomLeft"/>
      <selection activeCell="V1" sqref="V1"/>
      <selection pane="bottomLeft" activeCell="V3" sqref="V3"/>
    </sheetView>
  </sheetViews>
  <sheetFormatPr defaultRowHeight="14.4" outlineLevelCol="1" x14ac:dyDescent="0.3"/>
  <cols>
    <col min="1" max="1" width="6.44140625" hidden="1" customWidth="1"/>
    <col min="2" max="2" width="35.33203125" customWidth="1"/>
    <col min="3" max="3" width="21.33203125" customWidth="1"/>
    <col min="4" max="4" width="16.33203125" style="23" customWidth="1"/>
    <col min="5" max="5" width="7.109375" style="224" hidden="1" customWidth="1" outlineLevel="1"/>
    <col min="6" max="6" width="12.33203125" style="23" hidden="1" customWidth="1" outlineLevel="1"/>
    <col min="7" max="7" width="16.6640625" style="23" hidden="1" customWidth="1" outlineLevel="1"/>
    <col min="8" max="8" width="12.88671875" style="82" customWidth="1" collapsed="1"/>
    <col min="9" max="9" width="12.6640625" style="183" hidden="1" customWidth="1"/>
    <col min="10" max="10" width="12.6640625" style="185" hidden="1" customWidth="1"/>
    <col min="11" max="11" width="15.5546875" style="47" customWidth="1" outlineLevel="1"/>
    <col min="12" max="12" width="7" style="42" customWidth="1" outlineLevel="1"/>
    <col min="13" max="13" width="11.6640625" customWidth="1" outlineLevel="1"/>
    <col min="14" max="14" width="10.6640625" customWidth="1" outlineLevel="1"/>
    <col min="15" max="15" width="9.33203125" style="5" customWidth="1" outlineLevel="1" collapsed="1"/>
    <col min="16" max="16" width="8.33203125" style="3" customWidth="1" outlineLevel="1"/>
    <col min="17" max="17" width="7.5546875" style="3" customWidth="1" outlineLevel="1"/>
    <col min="18" max="18" width="8" customWidth="1" outlineLevel="1"/>
    <col min="19" max="19" width="11.88671875" style="3" customWidth="1" outlineLevel="1"/>
    <col min="20" max="20" width="8.109375" style="3" customWidth="1" outlineLevel="1"/>
    <col min="21" max="21" width="8.6640625" style="3" customWidth="1" outlineLevel="1"/>
    <col min="22" max="22" width="12.109375" style="3" customWidth="1"/>
    <col min="23" max="24" width="9.33203125" style="3" bestFit="1" customWidth="1"/>
    <col min="25" max="25" width="11.5546875" style="3" customWidth="1"/>
    <col min="26" max="26" width="9.44140625" style="3" hidden="1" customWidth="1" outlineLevel="1"/>
    <col min="27" max="27" width="9" style="3" hidden="1" customWidth="1" outlineLevel="1"/>
    <col min="28" max="28" width="8.44140625" style="3" hidden="1" customWidth="1" outlineLevel="1"/>
    <col min="29" max="29" width="9.109375" hidden="1" customWidth="1" outlineLevel="1"/>
    <col min="30" max="30" width="9" hidden="1" customWidth="1" outlineLevel="1"/>
    <col min="31" max="31" width="8.5546875" hidden="1" customWidth="1" outlineLevel="1"/>
    <col min="32" max="32" width="9.5546875" style="7" hidden="1" customWidth="1" outlineLevel="1"/>
    <col min="33" max="33" width="8.109375" style="7" hidden="1" customWidth="1" outlineLevel="1"/>
    <col min="34" max="34" width="13.109375" customWidth="1" collapsed="1"/>
    <col min="35" max="35" width="13.109375" customWidth="1"/>
    <col min="36" max="36" width="12" style="91" hidden="1" customWidth="1" outlineLevel="1"/>
    <col min="37" max="37" width="12.5546875" style="91" hidden="1" customWidth="1" outlineLevel="1"/>
    <col min="38" max="39" width="9.109375" hidden="1" customWidth="1" outlineLevel="1"/>
    <col min="40" max="40" width="9.109375" style="2" hidden="1" customWidth="1" outlineLevel="1"/>
    <col min="41" max="41" width="10.109375" style="2" hidden="1" customWidth="1" outlineLevel="1"/>
    <col min="42" max="42" width="10.88671875" style="2" hidden="1" customWidth="1" outlineLevel="1"/>
    <col min="43" max="43" width="10.88671875" style="181" customWidth="1" collapsed="1"/>
    <col min="44" max="44" width="37.33203125" customWidth="1"/>
    <col min="45" max="45" width="24.5546875" customWidth="1"/>
    <col min="46" max="46" width="11.6640625" customWidth="1"/>
  </cols>
  <sheetData>
    <row r="1" spans="1:46" s="245" customFormat="1" ht="114" customHeight="1" x14ac:dyDescent="0.3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3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3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3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3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3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3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3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3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3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3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3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3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3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3">
      <c r="B15" s="217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3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3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3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3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3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3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3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3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3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3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3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3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3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3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3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3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3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3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3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3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3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3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3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3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3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3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3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3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3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3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3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3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3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3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3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3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3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3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3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3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3">
      <c r="E63" s="274"/>
    </row>
    <row r="64" spans="2:46" x14ac:dyDescent="0.3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3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3">
      <c r="E66" s="274" t="s">
        <v>352</v>
      </c>
    </row>
  </sheetData>
  <autoFilter ref="A1:AS54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B1:AT10"/>
  <sheetViews>
    <sheetView workbookViewId="0">
      <selection activeCell="B18" sqref="B18"/>
    </sheetView>
  </sheetViews>
  <sheetFormatPr defaultRowHeight="14.4" x14ac:dyDescent="0.3"/>
  <cols>
    <col min="2" max="2" width="25.109375" customWidth="1"/>
    <col min="7" max="7" width="29.33203125" customWidth="1"/>
    <col min="10" max="10" width="23.33203125" customWidth="1"/>
  </cols>
  <sheetData>
    <row r="1" spans="2:46" x14ac:dyDescent="0.3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3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3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3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3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3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3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3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3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3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E3:W17"/>
  <sheetViews>
    <sheetView workbookViewId="0">
      <selection activeCell="E27" sqref="E27"/>
    </sheetView>
  </sheetViews>
  <sheetFormatPr defaultRowHeight="14.4" x14ac:dyDescent="0.3"/>
  <cols>
    <col min="5" max="5" width="28.44140625" customWidth="1"/>
    <col min="6" max="6" width="11" style="1" bestFit="1" customWidth="1"/>
    <col min="7" max="7" width="11" bestFit="1" customWidth="1"/>
    <col min="18" max="18" width="13.5546875" customWidth="1"/>
  </cols>
  <sheetData>
    <row r="3" spans="5:23" x14ac:dyDescent="0.3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3">
      <c r="F4" s="200">
        <f>SUM(F6:F8)</f>
        <v>4582</v>
      </c>
      <c r="K4" s="263"/>
      <c r="R4" s="125"/>
      <c r="V4" s="125"/>
      <c r="W4" s="264"/>
    </row>
    <row r="5" spans="5:23" x14ac:dyDescent="0.3">
      <c r="K5" s="263"/>
      <c r="R5" s="125" t="s">
        <v>320</v>
      </c>
      <c r="V5" s="125" t="s">
        <v>321</v>
      </c>
      <c r="W5" s="264"/>
    </row>
    <row r="6" spans="5:23" x14ac:dyDescent="0.3">
      <c r="E6" t="s">
        <v>214</v>
      </c>
      <c r="F6" s="1">
        <v>3317</v>
      </c>
      <c r="K6" s="263"/>
      <c r="R6" s="125"/>
      <c r="V6" s="125"/>
      <c r="W6" s="264"/>
    </row>
    <row r="7" spans="5:23" x14ac:dyDescent="0.3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3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3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3">
      <c r="K10" s="263"/>
      <c r="R10" s="125"/>
      <c r="V10" s="125"/>
      <c r="W10" s="264"/>
    </row>
    <row r="11" spans="5:23" x14ac:dyDescent="0.3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3">
      <c r="K12" s="263"/>
      <c r="R12" s="125"/>
      <c r="W12" s="264"/>
    </row>
    <row r="13" spans="5:23" x14ac:dyDescent="0.3">
      <c r="K13" s="263"/>
      <c r="R13" s="125"/>
      <c r="W13" s="264"/>
    </row>
    <row r="14" spans="5:23" x14ac:dyDescent="0.3">
      <c r="K14" s="263"/>
      <c r="W14" s="264"/>
    </row>
    <row r="15" spans="5:23" x14ac:dyDescent="0.3">
      <c r="K15" s="267" t="s">
        <v>322</v>
      </c>
      <c r="L15" s="7"/>
      <c r="M15" s="7"/>
      <c r="O15">
        <f>V8+V9+L8</f>
        <v>440</v>
      </c>
      <c r="W15" s="264"/>
    </row>
    <row r="16" spans="5:23" x14ac:dyDescent="0.3">
      <c r="K16" s="263"/>
      <c r="W16" s="264"/>
    </row>
    <row r="17" spans="11:23" x14ac:dyDescent="0.3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4.4" x14ac:dyDescent="0.3"/>
  <cols>
    <col min="1" max="1" width="6.44140625" hidden="1" customWidth="1"/>
    <col min="2" max="2" width="6.88671875" customWidth="1"/>
    <col min="3" max="3" width="24.109375" customWidth="1"/>
    <col min="4" max="4" width="14.5546875" style="82" customWidth="1"/>
    <col min="5" max="5" width="17.44140625" style="23" customWidth="1"/>
    <col min="6" max="6" width="7.88671875" style="23" customWidth="1"/>
    <col min="7" max="7" width="12.109375" style="47" customWidth="1"/>
    <col min="8" max="8" width="7" style="42" customWidth="1"/>
    <col min="9" max="9" width="11" bestFit="1" customWidth="1"/>
    <col min="10" max="10" width="10.88671875" customWidth="1"/>
    <col min="11" max="11" width="10.109375" style="5" customWidth="1"/>
    <col min="12" max="12" width="6.44140625" style="3" customWidth="1"/>
    <col min="13" max="13" width="10.6640625" style="3" customWidth="1"/>
    <col min="14" max="14" width="8.6640625" customWidth="1"/>
    <col min="15" max="15" width="11.88671875" style="3" customWidth="1"/>
    <col min="16" max="16" width="9.44140625" style="3" customWidth="1"/>
    <col min="17" max="17" width="9.88671875" style="3" customWidth="1"/>
    <col min="18" max="18" width="12.109375" style="3" customWidth="1"/>
    <col min="19" max="20" width="9.33203125" style="3" bestFit="1" customWidth="1"/>
    <col min="21" max="21" width="11.5546875" style="3" customWidth="1"/>
    <col min="22" max="22" width="9.44140625" style="3" customWidth="1"/>
    <col min="23" max="23" width="9" style="3" customWidth="1"/>
    <col min="24" max="24" width="8.44140625" style="3" customWidth="1"/>
    <col min="25" max="25" width="9.109375" customWidth="1"/>
    <col min="26" max="26" width="9" customWidth="1"/>
    <col min="27" max="27" width="8.5546875" customWidth="1"/>
    <col min="28" max="28" width="9.5546875" style="7" customWidth="1"/>
    <col min="29" max="29" width="8.109375" style="7" customWidth="1"/>
    <col min="30" max="30" width="10.5546875" customWidth="1"/>
    <col min="31" max="31" width="10.33203125" customWidth="1"/>
    <col min="32" max="32" width="16" style="91" customWidth="1"/>
    <col min="33" max="33" width="16.6640625" style="91" customWidth="1"/>
  </cols>
  <sheetData>
    <row r="1" spans="1:36" ht="114" customHeight="1" x14ac:dyDescent="0.3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3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3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3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3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" thickBot="1" x14ac:dyDescent="0.35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" thickBot="1" x14ac:dyDescent="0.35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3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3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3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3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3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3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3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3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3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3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3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3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3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3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3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3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3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3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3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3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3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3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3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3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3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3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6.8" thickBot="1" x14ac:dyDescent="0.9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" thickBot="1" x14ac:dyDescent="0.35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3">
      <c r="C36" s="53" t="s">
        <v>135</v>
      </c>
      <c r="D36" s="82">
        <v>44013</v>
      </c>
      <c r="E36" s="23" t="s">
        <v>136</v>
      </c>
      <c r="F36" s="278" t="s">
        <v>137</v>
      </c>
      <c r="G36" s="278"/>
      <c r="H36" s="278"/>
      <c r="I36" s="278"/>
      <c r="J36" s="278"/>
      <c r="O36" s="136" t="s">
        <v>133</v>
      </c>
      <c r="P36" s="137"/>
      <c r="Q36" s="138"/>
      <c r="R36" s="10"/>
    </row>
    <row r="37" spans="3:26" x14ac:dyDescent="0.3">
      <c r="C37" s="7"/>
      <c r="O37" s="131">
        <v>11834</v>
      </c>
      <c r="P37" s="14">
        <v>10355</v>
      </c>
      <c r="Q37" s="132">
        <v>1479</v>
      </c>
      <c r="R37" s="10"/>
    </row>
    <row r="38" spans="3:26" ht="15" thickBot="1" x14ac:dyDescent="0.35">
      <c r="O38" s="133" t="s">
        <v>132</v>
      </c>
      <c r="P38" s="134" t="s">
        <v>131</v>
      </c>
      <c r="Q38" s="135" t="s">
        <v>130</v>
      </c>
    </row>
  </sheetData>
  <autoFilter ref="B1:AE1">
    <sortState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Q38"/>
  <sheetViews>
    <sheetView zoomScale="85" zoomScaleNormal="85" workbookViewId="0">
      <pane ySplit="756" activePane="bottomLeft"/>
      <selection activeCell="L1" sqref="L1:L1048576"/>
      <selection pane="bottomLeft" activeCell="E24" sqref="E24"/>
    </sheetView>
  </sheetViews>
  <sheetFormatPr defaultColWidth="9.109375" defaultRowHeight="14.4" x14ac:dyDescent="0.3"/>
  <cols>
    <col min="1" max="1" width="16.5546875" style="16" customWidth="1"/>
    <col min="2" max="2" width="9.6640625" style="3" customWidth="1"/>
    <col min="3" max="3" width="23.88671875" style="7" customWidth="1"/>
    <col min="4" max="4" width="13" style="3" customWidth="1"/>
    <col min="5" max="5" width="11.44140625" style="3" customWidth="1"/>
    <col min="6" max="6" width="20.33203125" style="3" bestFit="1" customWidth="1"/>
    <col min="7" max="7" width="17" style="4" customWidth="1"/>
    <col min="8" max="8" width="19" style="4" bestFit="1" customWidth="1"/>
    <col min="9" max="9" width="19.109375" style="3" customWidth="1"/>
    <col min="10" max="10" width="14.5546875" style="3" customWidth="1"/>
    <col min="11" max="11" width="12.44140625" style="3" customWidth="1"/>
    <col min="12" max="12" width="13.5546875" style="4" customWidth="1"/>
    <col min="13" max="13" width="15.6640625" style="3" customWidth="1"/>
    <col min="14" max="14" width="18.5546875" style="3" customWidth="1"/>
    <col min="15" max="16384" width="9.109375" style="3"/>
  </cols>
  <sheetData>
    <row r="1" spans="1:17" s="14" customFormat="1" ht="27.6" x14ac:dyDescent="0.3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3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3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3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3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3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3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3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3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3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3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3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3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3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3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3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3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3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3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3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3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3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3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3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3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3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3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3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3">
      <c r="M29"/>
    </row>
    <row r="31" spans="1:17" x14ac:dyDescent="0.3">
      <c r="A31" s="3"/>
      <c r="B31" s="76" t="s">
        <v>104</v>
      </c>
      <c r="C31" s="77"/>
    </row>
    <row r="32" spans="1:17" x14ac:dyDescent="0.3">
      <c r="M32"/>
    </row>
    <row r="33" spans="1:17" x14ac:dyDescent="0.3">
      <c r="M33"/>
    </row>
    <row r="34" spans="1:17" x14ac:dyDescent="0.3">
      <c r="M34"/>
    </row>
    <row r="35" spans="1:17" s="74" customFormat="1" x14ac:dyDescent="0.3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3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3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3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/>
  <sortState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4.4" x14ac:dyDescent="0.3"/>
  <cols>
    <col min="1" max="1" width="20.88671875" customWidth="1"/>
    <col min="2" max="2" width="16.44140625" style="41" customWidth="1"/>
    <col min="3" max="3" width="17.44140625" style="23" customWidth="1"/>
    <col min="4" max="4" width="10.6640625" style="42" customWidth="1"/>
    <col min="5" max="5" width="16.33203125" style="5" customWidth="1"/>
    <col min="6" max="6" width="11" style="3" customWidth="1"/>
    <col min="7" max="7" width="18.88671875" style="3" customWidth="1"/>
    <col min="8" max="8" width="11.109375" style="3" customWidth="1"/>
    <col min="9" max="10" width="13.5546875" style="3" customWidth="1"/>
    <col min="11" max="11" width="11.44140625" style="3" bestFit="1" customWidth="1"/>
    <col min="12" max="12" width="14" style="3" bestFit="1" customWidth="1"/>
    <col min="13" max="14" width="9.33203125" style="3" bestFit="1" customWidth="1"/>
    <col min="15" max="15" width="17.88671875" style="3" bestFit="1" customWidth="1"/>
    <col min="16" max="16" width="18.33203125" style="3" bestFit="1" customWidth="1"/>
    <col min="17" max="17" width="10" style="3" customWidth="1"/>
    <col min="18" max="18" width="14.5546875" bestFit="1" customWidth="1"/>
    <col min="19" max="19" width="12.44140625" bestFit="1" customWidth="1"/>
    <col min="20" max="20" width="14.5546875" bestFit="1" customWidth="1"/>
    <col min="21" max="21" width="9.109375" style="2"/>
  </cols>
  <sheetData>
    <row r="1" spans="1:21" ht="75" customHeight="1" x14ac:dyDescent="0.3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3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3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3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3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3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3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3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3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3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3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3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3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3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3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3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3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3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3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3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3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3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3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3">
      <c r="B24" s="40"/>
      <c r="I24" s="10"/>
      <c r="L24" s="10"/>
    </row>
    <row r="25" spans="1:26" x14ac:dyDescent="0.3">
      <c r="B25" s="40"/>
      <c r="I25" s="10"/>
      <c r="L25" s="10"/>
    </row>
    <row r="26" spans="1:26" x14ac:dyDescent="0.3">
      <c r="B26" s="40"/>
      <c r="I26" s="10"/>
      <c r="L26" s="10"/>
    </row>
    <row r="27" spans="1:26" x14ac:dyDescent="0.3">
      <c r="I27" s="10"/>
      <c r="L27" s="10"/>
    </row>
    <row r="28" spans="1:26" x14ac:dyDescent="0.3">
      <c r="A28" s="7" t="s">
        <v>102</v>
      </c>
      <c r="I28" s="10"/>
      <c r="L28" s="10"/>
    </row>
    <row r="29" spans="1:26" s="63" customFormat="1" x14ac:dyDescent="0.3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3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3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3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3">
      <c r="I33" s="10"/>
      <c r="L33" s="10"/>
    </row>
    <row r="34" spans="1:14" s="3" customFormat="1" x14ac:dyDescent="0.3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3">
      <c r="I35" s="10"/>
      <c r="L35" s="10"/>
    </row>
    <row r="36" spans="1:14" x14ac:dyDescent="0.3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B3:F32"/>
  <sheetViews>
    <sheetView workbookViewId="0">
      <selection activeCell="F18" sqref="F18"/>
    </sheetView>
  </sheetViews>
  <sheetFormatPr defaultRowHeight="14.4" x14ac:dyDescent="0.3"/>
  <cols>
    <col min="2" max="2" width="42.6640625" bestFit="1" customWidth="1"/>
    <col min="3" max="3" width="9.44140625" style="1" bestFit="1" customWidth="1"/>
    <col min="4" max="4" width="3.44140625" customWidth="1"/>
    <col min="5" max="5" width="11" bestFit="1" customWidth="1"/>
    <col min="6" max="6" width="8.44140625" bestFit="1" customWidth="1"/>
  </cols>
  <sheetData>
    <row r="3" spans="2:6" x14ac:dyDescent="0.3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3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3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3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3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3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3">
      <c r="E11" s="35">
        <f>SUM(E3:E10)</f>
        <v>1128</v>
      </c>
      <c r="F11" s="35">
        <f>E11/36</f>
        <v>31.333333333333332</v>
      </c>
    </row>
    <row r="12" spans="2:6" x14ac:dyDescent="0.3">
      <c r="E12" s="35">
        <f>F12*36</f>
        <v>1800</v>
      </c>
      <c r="F12" s="36">
        <v>50</v>
      </c>
    </row>
    <row r="14" spans="2:6" x14ac:dyDescent="0.3">
      <c r="E14" s="36">
        <f>E12-E11</f>
        <v>672</v>
      </c>
    </row>
    <row r="21" spans="2:6" x14ac:dyDescent="0.3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3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3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3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3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3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3">
      <c r="E29" s="35">
        <f>SUM(E21:E28)</f>
        <v>1182</v>
      </c>
      <c r="F29" s="35">
        <f>E29/36</f>
        <v>32.833333333333336</v>
      </c>
    </row>
    <row r="30" spans="2:6" x14ac:dyDescent="0.3">
      <c r="E30" s="35">
        <f>F30*36</f>
        <v>1800</v>
      </c>
      <c r="F30" s="36">
        <v>50</v>
      </c>
    </row>
    <row r="32" spans="2:6" x14ac:dyDescent="0.3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CONGUAGLI</vt:lpstr>
      <vt:lpstr>scaduti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2023-06-13T16:42:48Z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