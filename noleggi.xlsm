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Questa_cartella_di_lavoro"/>
  <bookViews>
    <workbookView minimized="1" xWindow="-120" yWindow="-120" windowWidth="29040" windowHeight="15720" tabRatio="847" activeTab="3"/>
  </bookViews>
  <sheets>
    <sheet name="CONGUAGLI" sheetId="6" r:id="rId1"/>
    <sheet name="scaduti" sheetId="8" r:id="rId2"/>
    <sheet name="Foglio1" sheetId="19" r:id="rId3"/>
    <sheet name="Dati Stampanti" sheetId="25" r:id="rId4"/>
    <sheet name="conti" sheetId="7" state="hidden" r:id="rId5"/>
    <sheet name="CONGUAGLI  old al 17-6" sheetId="5" state="hidden" r:id="rId6"/>
    <sheet name="noleggi" sheetId="1" state="hidden" r:id="rId7"/>
    <sheet name="CONGUAGLI old o chiusi" sheetId="2" state="hidden" r:id="rId8"/>
    <sheet name="CONTI A4" sheetId="3" state="hidden" r:id="rId9"/>
  </sheets>
  <functionGroups builtInGroupCount="18"/>
  <definedNames>
    <definedName name="_xlnm._FilterDatabase" localSheetId="0" hidden="1">CONGUAGLI!$A$1:$AS$54</definedName>
    <definedName name="_xlnm._FilterDatabase" localSheetId="5" hidden="1">'CONGUAGLI  old al 17-6'!$B$1:$AE$1</definedName>
    <definedName name="_xlnm._FilterDatabase" localSheetId="6" hidden="1">noleggi!$A$1:$N$38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O15" i="7" s="1"/>
  <c r="Q9" i="7"/>
  <c r="S9" i="7" s="1"/>
  <c r="V9" i="7" s="1"/>
  <c r="AB10" i="8"/>
  <c r="AD10" i="8" s="1"/>
  <c r="AF10" i="8" s="1"/>
  <c r="AH10" i="8" s="1"/>
  <c r="AA10" i="8"/>
  <c r="AC10" i="8" s="1"/>
  <c r="AE10" i="8" s="1"/>
  <c r="AG10" i="8" s="1"/>
  <c r="AI10" i="8" s="1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>
  <authors>
    <author>Autore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R1" authorId="0" shapeId="0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<sst xmlns="http://schemas.openxmlformats.org/spreadsheetml/2006/main" count="1009" uniqueCount="378">
  <si>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</si>
  <si>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</si>
  <si>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</si>
  <si>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</si>
  <si>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</si>
  <si>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</si>
  <si>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</si>
  <si>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</si>
  <si>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</si>
  <si>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</si>
  <si>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</si>
  <si>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</si>
  <si>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</si>
  <si>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</si>
  <si>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</si>
  <si>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</si>
  <si>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</si>
  <si>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</si>
  <si>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</si>
  <si>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</si>
  <si>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</si>
  <si>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</si>
  <si>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</si>
  <si>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</si>
  <si>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</si>
  <si>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</si>
  <si>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</si>
  <si>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</si>
  <si>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</si>
  <si>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</si>
  <si>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</si>
  <si>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</si>
  <si>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</si>
  <si>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</si>
  <si>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</si>
  <si>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</si>
  <si>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</si>
  <si>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</si>
  <si>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</si>
  <si>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</si>
  <si>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</si>
  <si>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</si>
  <si>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</si>
  <si>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</si>
  <si>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</si>
  <si>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</si>
  <si>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</si>
  <si>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</si>
  <si>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</si>
  <si>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</si>
  <si>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</si>
  <si>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</si>
  <si>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</si>
  <si>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</si>
  <si>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</si>
  <si>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</si>
  <si>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</si>
  <si>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</si>
  <si>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</si>
  <si>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</si>
  <si>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</si>
  <si>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</si>
  <si>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</si>
  <si>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</si>
  <si>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</si>
  <si>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</si>
  <si>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</si>
  <si>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</si>
  <si>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</si>
  <si>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</si>
  <si>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</si>
  <si>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</si>
  <si>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</si>
  <si>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</si>
  <si>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</si>
  <si>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</si>
  <si>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</si>
  <si>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</si>
  <si>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</si>
  <si>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</si>
  <si>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</si>
  <si>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</si>
  <si>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</si>
  <si>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</si>
  <si>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</si>
  <si>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</si>
  <si>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</si>
  <si>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</si>
  <si>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</si>
  <si>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</si>
  <si>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</si>
  <si>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</si>
  <si>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</si>
  <si>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</si>
  <si>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</si>
  <si>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</si>
  <si>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</si>
  <si>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</si>
  <si>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</si>
  <si>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</si>
  <si>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</si>
  <si>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</si>
  <si>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</si>
  <si>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</si>
  <si>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</si>
  <si>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</si>
  <si>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</si>
  <si>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</si>
  <si>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</si>
  <si>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</si>
  <si>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</si>
  <si>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</si>
  <si>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</si>
  <si>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</si>
  <si>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</si>
  <si>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</si>
  <si>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</si>
  <si>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</si>
  <si>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</si>
  <si>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</si>
  <si>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</si>
  <si>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</si>
  <si>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</si>
  <si>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</si>
  <si>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</si>
  <si>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</si>
  <si>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</si>
  <si>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</si>
  <si>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</si>
  <si>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</si>
  <si>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</si>
  <si>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</si>
  <si>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</si>
  <si>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</si>
  <si>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</si>
  <si>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</si>
  <si>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</si>
  <si>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</si>
  <si>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</si>
  <si>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</si>
  <si>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</si>
  <si>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</si>
  <si>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</si>
  <si>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</si>
  <si>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</si>
  <si>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</si>
  <si>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</si>
  <si>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</si>
  <si>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</si>
  <si>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</si>
  <si>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</si>
  <si>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</si>
  <si>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</si>
  <si>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</si>
  <si>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</si>
  <si>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</si>
  <si>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</si>
  <si>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</si>
  <si>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</si>
  <si>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</si>
  <si>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</si>
  <si>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</si>
  <si>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</si>
  <si>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</si>
  <si>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</si>
  <si>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</si>
  <si>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</si>
  <si>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</si>
  <si>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</si>
  <si>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</si>
  <si>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</si>
  <si>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</si>
  <si>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</si>
  <si>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</si>
  <si>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</si>
  <si>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</si>
  <si>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</si>
  <si>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</si>
  <si>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</si>
  <si>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</si>
  <si>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</si>
  <si>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</si>
  <si>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</si>
  <si>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</si>
  <si>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</si>
  <si>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</si>
  <si>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</si>
  <si>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</si>
  <si>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</si>
  <si>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</si>
  <si>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</si>
  <si>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</si>
  <si>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</si>
  <si>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</si>
  <si>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</si>
  <si>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</si>
  <si>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</si>
  <si>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</si>
  <si>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</si>
  <si>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</si>
  <si>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</si>
  <si>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</si>
  <si>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</si>
  <si>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</si>
  <si>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</si>
  <si>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</si>
  <si>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</si>
  <si>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</si>
  <si>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</si>
  <si>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</si>
  <si>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</si>
  <si>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</si>
  <si>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</si>
  <si>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</si>
  <si>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</si>
  <si>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</si>
  <si>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</si>
  <si>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</si>
  <si>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</si>
  <si>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</si>
  <si>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</si>
  <si>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</si>
  <si>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</si>
  <si>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</si>
  <si>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</si>
  <si>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</si>
  <si>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</si>
  <si>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</si>
  <si>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</si>
  <si>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</si>
  <si>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</si>
  <si>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</si>
  <si>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</si>
  <si>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</si>
  <si>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</si>
  <si>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</si>
  <si>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</si>
  <si>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</si>
  <si>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</si>
  <si>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</si>
  <si>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</si>
  <si>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</si>
  <si>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</si>
  <si>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</si>
  <si>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</si>
  <si>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</si>
  <si>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</si>
  <si>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</si>
  <si>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</si>
  <si>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</si>
  <si>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</si>
  <si>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</si>
  <si>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</si>
  <si>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</si>
  <si>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</si>
  <si>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</si>
  <si>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</si>
  <si>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</si>
  <si>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</si>
  <si>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</si>
  <si>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</si>
  <si>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</si>
  <si>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</si>
  <si>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</si>
  <si>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</si>
  <si>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</si>
  <si>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</si>
  <si>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</si>
  <si>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</si>
  <si>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</si>
  <si>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</si>
  <si>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</si>
  <si>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</si>
  <si>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</si>
  <si>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</si>
  <si>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</si>
  <si>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</si>
  <si>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</si>
  <si>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</si>
  <si>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</si>
  <si>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</si>
  <si>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</si>
  <si>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</si>
  <si>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</si>
  <si>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</si>
  <si>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</si>
  <si>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</si>
  <si>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</si>
  <si>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</si>
  <si>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</si>
  <si>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</si>
  <si>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</si>
  <si>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</si>
  <si>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</si>
  <si>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</si>
  <si>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</si>
  <si>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</si>
  <si>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</si>
  <si>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</si>
  <si>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</si>
  <si>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</si>
  <si>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</si>
  <si>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</si>
  <si>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</si>
  <si>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</si>
  <si>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</si>
  <si>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</si>
  <si>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</si>
  <si>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</si>
  <si>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</si>
  <si>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</si>
  <si>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</si>
  <si>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</si>
  <si>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</si>
  <si>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</si>
  <si>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</si>
  <si>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</si>
  <si>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</si>
  <si>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</si>
  <si>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</si>
  <si>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</si>
  <si>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</si>
  <si>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</si>
  <si>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</si>
  <si>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</si>
  <si>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</si>
  <si>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</si>
  <si>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</si>
  <si>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</si>
  <si>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</si>
  <si>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</si>
  <si>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</si>
  <si>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</si>
  <si>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</si>
  <si>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</si>
  <si>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</si>
  <si>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</si>
  <si>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</si>
  <si>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</si>
  <si>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</si>
  <si>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</si>
  <si>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</si>
  <si>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</si>
  <si>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</si>
  <si>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</si>
  <si>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</si>
  <si>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</si>
  <si>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</si>
  <si>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</si>
  <si>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</si>
  <si>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</si>
  <si>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</si>
  <si>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</si>
  <si>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</si>
  <si>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</si>
  <si>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</si>
  <si>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</si>
  <si>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</si>
  <si>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</si>
  <si>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</si>
  <si>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</si>
  <si>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</si>
  <si>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</si>
  <si>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</si>
  <si>
    <t>Modello</t>
  </si>
  <si>
    <t>Pagine nero</t>
  </si>
  <si>
    <t>Pagine colore</t>
  </si>
  <si>
    <t xml:space="preserve">             2507ci</t>
  </si>
  <si>
    <t xml:space="preserve">             2506ci</t>
  </si>
  <si>
    <t xml:space="preserve">             4006ci</t>
  </si>
  <si>
    <t xml:space="preserve">             P-5531DN</t>
  </si>
  <si>
    <t xml:space="preserve">             4062i</t>
  </si>
  <si>
    <t xml:space="preserve">             P-5536i MFP</t>
  </si>
  <si>
    <t xml:space="preserve">             3508ci</t>
  </si>
  <si>
    <t xml:space="preserve">             4056i</t>
  </si>
  <si>
    <t xml:space="preserve">             5007ci</t>
  </si>
  <si>
    <t xml:space="preserve">             P-2540i MFP</t>
  </si>
  <si>
    <t xml:space="preserve">Riga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</si>
</sst>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U66"/>
  <sheetViews>
    <sheetView topLeftCell="B1" zoomScale="85" zoomScaleNormal="85" workbookViewId="0">
      <pane ySplit="2700" activePane="bottomLeft"/>
      <selection activeCell="V1" sqref="V1"/>
      <selection pane="bottomLeft" activeCell="B54" sqref="B2:B54"/>
    </sheetView>
  </sheetViews>
  <sheetFormatPr defaultRowHeight="14.4" outlineLevelCol="1" x14ac:dyDescent="0.3"/>
  <cols>
    <col min="1" max="1" width="6.44140625" hidden="1" customWidth="1"/>
    <col min="2" max="2" width="35.33203125" customWidth="1"/>
    <col min="3" max="3" width="21.33203125" customWidth="1"/>
    <col min="4" max="4" width="16.33203125" style="23" customWidth="1"/>
    <col min="5" max="5" width="7.109375" style="224" hidden="1" customWidth="1" outlineLevel="1"/>
    <col min="6" max="6" width="12.33203125" style="23" hidden="1" customWidth="1" outlineLevel="1"/>
    <col min="7" max="7" width="16.6640625" style="23" hidden="1" customWidth="1" outlineLevel="1"/>
    <col min="8" max="8" width="12.88671875" style="82" customWidth="1" collapsed="1"/>
    <col min="9" max="9" width="12.6640625" style="183" hidden="1" customWidth="1"/>
    <col min="10" max="10" width="12.6640625" style="185" hidden="1" customWidth="1"/>
    <col min="11" max="11" width="15.5546875" style="47" customWidth="1" outlineLevel="1"/>
    <col min="12" max="12" width="7" style="42" customWidth="1" outlineLevel="1"/>
    <col min="13" max="13" width="11.6640625" customWidth="1" outlineLevel="1"/>
    <col min="14" max="14" width="10.6640625" customWidth="1" outlineLevel="1"/>
    <col min="15" max="15" width="9.33203125" style="5" customWidth="1" outlineLevel="1" collapsed="1"/>
    <col min="16" max="16" width="8.33203125" style="3" customWidth="1" outlineLevel="1"/>
    <col min="17" max="17" width="7.5546875" style="3" customWidth="1" outlineLevel="1"/>
    <col min="18" max="18" width="8" customWidth="1" outlineLevel="1"/>
    <col min="19" max="19" width="11.88671875" style="3" customWidth="1" outlineLevel="1"/>
    <col min="20" max="20" width="8.109375" style="3" customWidth="1" outlineLevel="1"/>
    <col min="21" max="21" width="8.6640625" style="3" customWidth="1" outlineLevel="1"/>
    <col min="22" max="22" width="12.109375" style="3" customWidth="1"/>
    <col min="23" max="24" width="9.33203125" style="3" bestFit="1" customWidth="1"/>
    <col min="25" max="25" width="11.5546875" style="3" customWidth="1"/>
    <col min="26" max="26" width="9.44140625" style="3" hidden="1" customWidth="1" outlineLevel="1"/>
    <col min="27" max="27" width="9" style="3" hidden="1" customWidth="1" outlineLevel="1"/>
    <col min="28" max="28" width="8.44140625" style="3" hidden="1" customWidth="1" outlineLevel="1"/>
    <col min="29" max="29" width="9.109375" hidden="1" customWidth="1" outlineLevel="1"/>
    <col min="30" max="30" width="9" hidden="1" customWidth="1" outlineLevel="1"/>
    <col min="31" max="31" width="8.5546875" hidden="1" customWidth="1" outlineLevel="1"/>
    <col min="32" max="32" width="9.5546875" style="7" hidden="1" customWidth="1" outlineLevel="1"/>
    <col min="33" max="33" width="8.109375" style="7" hidden="1" customWidth="1" outlineLevel="1"/>
    <col min="34" max="34" width="13.109375" customWidth="1" collapsed="1"/>
    <col min="35" max="35" width="13.109375" customWidth="1"/>
    <col min="36" max="36" width="12" style="91" hidden="1" customWidth="1" outlineLevel="1"/>
    <col min="37" max="37" width="12.5546875" style="91" hidden="1" customWidth="1" outlineLevel="1"/>
    <col min="38" max="39" width="9.109375" hidden="1" customWidth="1" outlineLevel="1"/>
    <col min="40" max="40" width="9.109375" style="2" hidden="1" customWidth="1" outlineLevel="1"/>
    <col min="41" max="41" width="10.109375" style="2" hidden="1" customWidth="1" outlineLevel="1"/>
    <col min="42" max="42" width="10.88671875" style="2" hidden="1" customWidth="1" outlineLevel="1"/>
    <col min="43" max="43" width="10.88671875" style="181" customWidth="1" collapsed="1"/>
    <col min="44" max="44" width="37.33203125" customWidth="1"/>
    <col min="45" max="45" width="24.5546875" customWidth="1"/>
    <col min="46" max="46" width="11.6640625" customWidth="1"/>
  </cols>
  <sheetData>
    <row r="1" spans="1:46" s="245" customFormat="1" ht="114" customHeight="1" x14ac:dyDescent="0.3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3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3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3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3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3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3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3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3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3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3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3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3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3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3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3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3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3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3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3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3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3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3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3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3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3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3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3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3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3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3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3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3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3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3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3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3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3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3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3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3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3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3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3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3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3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3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3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3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3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3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3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3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3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3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3">
      <c r="E63" s="274"/>
    </row>
    <row r="64" spans="2:46" x14ac:dyDescent="0.3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3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3">
      <c r="E66" s="274" t="s">
        <v>352</v>
      </c>
    </row>
  </sheetData>
  <autoFilter ref="A1:AS54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/>
    <hyperlink ref="B15" r:id="rId2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B1:AT10"/>
  <sheetViews>
    <sheetView workbookViewId="0">
      <selection activeCell="B18" sqref="B18"/>
    </sheetView>
  </sheetViews>
  <sheetFormatPr defaultRowHeight="14.4" x14ac:dyDescent="0.3"/>
  <cols>
    <col min="2" max="2" width="25.109375" customWidth="1"/>
    <col min="7" max="7" width="29.33203125" customWidth="1"/>
    <col min="10" max="10" width="23.33203125" customWidth="1"/>
  </cols>
  <sheetData>
    <row r="1" spans="2:46" x14ac:dyDescent="0.3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3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3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3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3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3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3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3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3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3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99"/>
  <sheetViews>
    <sheetView workbookViewId="0">
      <selection activeCell="G23" sqref="G23"/>
    </sheetView>
  </sheetViews>
  <sheetFormatPr defaultRowHeight="14.4" x14ac:dyDescent="0.3"/>
  <cols>
    <col min="1" max="1" width="34" bestFit="1" customWidth="1"/>
    <col min="2" max="2" width="15.88671875" bestFit="1" customWidth="1"/>
  </cols>
  <sheetData>
    <row r="1" spans="1:2" x14ac:dyDescent="0.3">
      <c r="A1" t="s">
        <v>358</v>
      </c>
      <c r="B1" t="s">
        <v>359</v>
      </c>
    </row>
    <row r="2" spans="1:2" x14ac:dyDescent="0.3">
      <c r="A2" t="s">
        <v>160</v>
      </c>
      <c r="B2" s="278">
        <v>45085.24664351852</v>
      </c>
    </row>
    <row r="3" spans="1:2" x14ac:dyDescent="0.3">
      <c r="A3" t="s">
        <v>163</v>
      </c>
      <c r="B3" s="278">
        <v>45084.328298611108</v>
      </c>
    </row>
    <row r="4" spans="1:2" x14ac:dyDescent="0.3">
      <c r="A4" t="s">
        <v>173</v>
      </c>
      <c r="B4" s="278">
        <v>45084.32571759259</v>
      </c>
    </row>
    <row r="5" spans="1:2" x14ac:dyDescent="0.3">
      <c r="A5" t="s">
        <v>170</v>
      </c>
      <c r="B5" s="278">
        <v>45083.7112037037</v>
      </c>
    </row>
    <row r="6" spans="1:2" x14ac:dyDescent="0.3">
      <c r="A6" t="s">
        <v>162</v>
      </c>
      <c r="B6" s="278">
        <v>45083.627187500002</v>
      </c>
    </row>
    <row r="7" spans="1:2" x14ac:dyDescent="0.3">
      <c r="A7" t="s">
        <v>175</v>
      </c>
      <c r="B7" s="278">
        <v>45083.600173611114</v>
      </c>
    </row>
    <row r="8" spans="1:2" x14ac:dyDescent="0.3">
      <c r="A8" t="s">
        <v>160</v>
      </c>
      <c r="B8" s="278">
        <v>45083.599537037036</v>
      </c>
    </row>
    <row r="9" spans="1:2" x14ac:dyDescent="0.3">
      <c r="A9" t="s">
        <v>170</v>
      </c>
      <c r="B9" s="278">
        <v>45083.51295138889</v>
      </c>
    </row>
    <row r="10" spans="1:2" x14ac:dyDescent="0.3">
      <c r="A10" t="s">
        <v>152</v>
      </c>
      <c r="B10" s="278">
        <v>45083.490694444445</v>
      </c>
    </row>
    <row r="11" spans="1:2" x14ac:dyDescent="0.3">
      <c r="A11" t="s">
        <v>152</v>
      </c>
      <c r="B11" s="278">
        <v>45083.476840277777</v>
      </c>
    </row>
    <row r="12" spans="1:2" x14ac:dyDescent="0.3">
      <c r="A12" t="s">
        <v>176</v>
      </c>
      <c r="B12" s="278">
        <v>45083.464317129627</v>
      </c>
    </row>
    <row r="13" spans="1:2" x14ac:dyDescent="0.3">
      <c r="A13" t="s">
        <v>152</v>
      </c>
      <c r="B13" s="278">
        <v>45083.462951388887</v>
      </c>
    </row>
    <row r="14" spans="1:2" x14ac:dyDescent="0.3">
      <c r="A14" t="s">
        <v>172</v>
      </c>
      <c r="B14" s="278">
        <v>45083.43644675926</v>
      </c>
    </row>
    <row r="15" spans="1:2" x14ac:dyDescent="0.3">
      <c r="A15" t="s">
        <v>176</v>
      </c>
      <c r="B15" s="278">
        <v>45083.401828703703</v>
      </c>
    </row>
    <row r="16" spans="1:2" x14ac:dyDescent="0.3">
      <c r="A16" t="s">
        <v>152</v>
      </c>
      <c r="B16" s="278">
        <v>45082.726261574076</v>
      </c>
    </row>
    <row r="17" spans="1:2" x14ac:dyDescent="0.3">
      <c r="A17" t="s">
        <v>152</v>
      </c>
      <c r="B17" s="278">
        <v>45082.642858796295</v>
      </c>
    </row>
    <row r="18" spans="1:2" x14ac:dyDescent="0.3">
      <c r="A18" t="s">
        <v>152</v>
      </c>
      <c r="B18" s="278">
        <v>45082.615081018521</v>
      </c>
    </row>
    <row r="19" spans="1:2" x14ac:dyDescent="0.3">
      <c r="A19" t="s">
        <v>152</v>
      </c>
      <c r="B19" s="278">
        <v>45082.566435185188</v>
      </c>
    </row>
    <row r="20" spans="1:2" x14ac:dyDescent="0.3">
      <c r="A20" t="s">
        <v>152</v>
      </c>
      <c r="B20" s="278">
        <v>45082.559432870374</v>
      </c>
    </row>
    <row r="21" spans="1:2" x14ac:dyDescent="0.3">
      <c r="A21" t="s">
        <v>152</v>
      </c>
      <c r="B21" s="278">
        <v>45082.552499999998</v>
      </c>
    </row>
    <row r="22" spans="1:2" x14ac:dyDescent="0.3">
      <c r="A22" t="s">
        <v>152</v>
      </c>
      <c r="B22" s="278">
        <v>45082.545590277776</v>
      </c>
    </row>
    <row r="23" spans="1:2" x14ac:dyDescent="0.3">
      <c r="A23" t="s">
        <v>152</v>
      </c>
      <c r="B23" s="278">
        <v>45082.538645833331</v>
      </c>
    </row>
    <row r="24" spans="1:2" x14ac:dyDescent="0.3">
      <c r="A24" t="s">
        <v>152</v>
      </c>
      <c r="B24" s="278">
        <v>45082.531712962962</v>
      </c>
    </row>
    <row r="25" spans="1:2" x14ac:dyDescent="0.3">
      <c r="A25" t="s">
        <v>152</v>
      </c>
      <c r="B25" s="278">
        <v>45082.524699074071</v>
      </c>
    </row>
    <row r="26" spans="1:2" x14ac:dyDescent="0.3">
      <c r="A26" t="s">
        <v>152</v>
      </c>
      <c r="B26" s="278">
        <v>45082.517766203702</v>
      </c>
    </row>
    <row r="27" spans="1:2" x14ac:dyDescent="0.3">
      <c r="A27" t="s">
        <v>152</v>
      </c>
      <c r="B27" s="278">
        <v>45082.510925925926</v>
      </c>
    </row>
    <row r="28" spans="1:2" x14ac:dyDescent="0.3">
      <c r="A28" t="s">
        <v>152</v>
      </c>
      <c r="B28" s="278">
        <v>45082.503923611112</v>
      </c>
    </row>
    <row r="29" spans="1:2" x14ac:dyDescent="0.3">
      <c r="A29" t="s">
        <v>152</v>
      </c>
      <c r="B29" s="278">
        <v>45082.49695601852</v>
      </c>
    </row>
    <row r="30" spans="1:2" x14ac:dyDescent="0.3">
      <c r="A30" t="s">
        <v>152</v>
      </c>
      <c r="B30" s="278">
        <v>45082.489988425928</v>
      </c>
    </row>
    <row r="31" spans="1:2" x14ac:dyDescent="0.3">
      <c r="A31" t="s">
        <v>152</v>
      </c>
      <c r="B31" s="278">
        <v>45082.482997685183</v>
      </c>
    </row>
    <row r="32" spans="1:2" x14ac:dyDescent="0.3">
      <c r="A32" t="s">
        <v>152</v>
      </c>
      <c r="B32" s="278">
        <v>45082.476064814815</v>
      </c>
    </row>
    <row r="33" spans="1:2" x14ac:dyDescent="0.3">
      <c r="A33" t="s">
        <v>152</v>
      </c>
      <c r="B33" s="278">
        <v>45082.462164351855</v>
      </c>
    </row>
    <row r="34" spans="1:2" x14ac:dyDescent="0.3">
      <c r="A34" t="s">
        <v>152</v>
      </c>
      <c r="B34" s="278">
        <v>45082.434374999997</v>
      </c>
    </row>
    <row r="35" spans="1:2" x14ac:dyDescent="0.3">
      <c r="A35" t="s">
        <v>152</v>
      </c>
      <c r="B35" s="278">
        <v>45082.427384259259</v>
      </c>
    </row>
    <row r="36" spans="1:2" x14ac:dyDescent="0.3">
      <c r="A36" t="s">
        <v>152</v>
      </c>
      <c r="B36" s="278">
        <v>45082.413541666669</v>
      </c>
    </row>
    <row r="37" spans="1:2" x14ac:dyDescent="0.3">
      <c r="A37" t="s">
        <v>152</v>
      </c>
      <c r="B37" s="278">
        <v>45082.406585648147</v>
      </c>
    </row>
    <row r="38" spans="1:2" x14ac:dyDescent="0.3">
      <c r="A38" t="s">
        <v>152</v>
      </c>
      <c r="B38" s="278">
        <v>45082.399629629632</v>
      </c>
    </row>
    <row r="39" spans="1:2" x14ac:dyDescent="0.3">
      <c r="A39" t="s">
        <v>152</v>
      </c>
      <c r="B39" s="278">
        <v>45082.392708333333</v>
      </c>
    </row>
    <row r="40" spans="1:2" x14ac:dyDescent="0.3">
      <c r="A40" t="s">
        <v>152</v>
      </c>
      <c r="B40" s="278">
        <v>45082.378784722219</v>
      </c>
    </row>
    <row r="41" spans="1:2" x14ac:dyDescent="0.3">
      <c r="A41" t="s">
        <v>176</v>
      </c>
      <c r="B41" s="278">
        <v>45082.374074074076</v>
      </c>
    </row>
    <row r="42" spans="1:2" x14ac:dyDescent="0.3">
      <c r="A42" t="s">
        <v>176</v>
      </c>
      <c r="B42" s="278">
        <v>45082.372604166667</v>
      </c>
    </row>
    <row r="43" spans="1:2" x14ac:dyDescent="0.3">
      <c r="A43" t="s">
        <v>152</v>
      </c>
      <c r="B43" s="278">
        <v>45082.371851851851</v>
      </c>
    </row>
    <row r="44" spans="1:2" x14ac:dyDescent="0.3">
      <c r="A44" t="s">
        <v>152</v>
      </c>
      <c r="B44" s="278">
        <v>45082.364837962959</v>
      </c>
    </row>
    <row r="45" spans="1:2" x14ac:dyDescent="0.3">
      <c r="A45" t="s">
        <v>152</v>
      </c>
      <c r="B45" s="278">
        <v>45082.357905092591</v>
      </c>
    </row>
    <row r="46" spans="1:2" x14ac:dyDescent="0.3">
      <c r="A46" t="s">
        <v>164</v>
      </c>
      <c r="B46" s="278">
        <v>45082.356782407405</v>
      </c>
    </row>
    <row r="47" spans="1:2" x14ac:dyDescent="0.3">
      <c r="A47" t="s">
        <v>152</v>
      </c>
      <c r="B47" s="278">
        <v>45082.351006944446</v>
      </c>
    </row>
    <row r="48" spans="1:2" x14ac:dyDescent="0.3">
      <c r="A48" t="s">
        <v>152</v>
      </c>
      <c r="B48" s="278">
        <v>45082.344027777777</v>
      </c>
    </row>
    <row r="49" spans="1:2" x14ac:dyDescent="0.3">
      <c r="A49" t="s">
        <v>152</v>
      </c>
      <c r="B49" s="278">
        <v>45082.337083333332</v>
      </c>
    </row>
    <row r="50" spans="1:2" x14ac:dyDescent="0.3">
      <c r="A50" t="s">
        <v>165</v>
      </c>
      <c r="B50" s="278">
        <v>45082.325046296297</v>
      </c>
    </row>
    <row r="51" spans="1:2" x14ac:dyDescent="0.3">
      <c r="A51" t="s">
        <v>165</v>
      </c>
      <c r="B51" s="278">
        <v>45082.32503472222</v>
      </c>
    </row>
    <row r="52" spans="1:2" x14ac:dyDescent="0.3">
      <c r="A52" t="s">
        <v>172</v>
      </c>
      <c r="B52" s="278">
        <v>45082.29241898148</v>
      </c>
    </row>
    <row r="53" spans="1:2" x14ac:dyDescent="0.3">
      <c r="A53" t="s">
        <v>175</v>
      </c>
      <c r="B53" s="278">
        <v>45082.29173611111</v>
      </c>
    </row>
    <row r="54" spans="1:2" x14ac:dyDescent="0.3">
      <c r="A54" t="s">
        <v>175</v>
      </c>
      <c r="B54" s="278">
        <v>45082.29173611111</v>
      </c>
    </row>
    <row r="55" spans="1:2" x14ac:dyDescent="0.3">
      <c r="A55" t="s">
        <v>159</v>
      </c>
      <c r="B55" s="278">
        <v>45082.291250000002</v>
      </c>
    </row>
    <row r="56" spans="1:2" x14ac:dyDescent="0.3">
      <c r="A56" t="s">
        <v>159</v>
      </c>
      <c r="B56" s="278">
        <v>45082.291250000002</v>
      </c>
    </row>
    <row r="57" spans="1:2" x14ac:dyDescent="0.3">
      <c r="A57" t="s">
        <v>158</v>
      </c>
      <c r="B57" s="278">
        <v>45082.289699074077</v>
      </c>
    </row>
    <row r="58" spans="1:2" x14ac:dyDescent="0.3">
      <c r="A58" t="s">
        <v>360</v>
      </c>
      <c r="B58" s="278">
        <v>45082.285439814812</v>
      </c>
    </row>
    <row r="59" spans="1:2" x14ac:dyDescent="0.3">
      <c r="A59" t="s">
        <v>360</v>
      </c>
      <c r="B59" s="278">
        <v>45082.283784722225</v>
      </c>
    </row>
    <row r="60" spans="1:2" x14ac:dyDescent="0.3">
      <c r="A60" t="s">
        <v>163</v>
      </c>
      <c r="B60" s="278">
        <v>45082.281284722223</v>
      </c>
    </row>
    <row r="61" spans="1:2" x14ac:dyDescent="0.3">
      <c r="A61" t="s">
        <v>178</v>
      </c>
      <c r="B61" s="278">
        <v>45081.960219907407</v>
      </c>
    </row>
    <row r="62" spans="1:2" x14ac:dyDescent="0.3">
      <c r="A62" t="s">
        <v>175</v>
      </c>
      <c r="B62" s="278">
        <v>45081.626261574071</v>
      </c>
    </row>
    <row r="63" spans="1:2" x14ac:dyDescent="0.3">
      <c r="A63" t="s">
        <v>175</v>
      </c>
      <c r="B63" s="278">
        <v>45081.591550925928</v>
      </c>
    </row>
    <row r="64" spans="1:2" x14ac:dyDescent="0.3">
      <c r="A64" t="s">
        <v>361</v>
      </c>
      <c r="B64" s="278">
        <v>45081.291770833333</v>
      </c>
    </row>
    <row r="65" spans="1:2" x14ac:dyDescent="0.3">
      <c r="A65" t="s">
        <v>361</v>
      </c>
      <c r="B65" s="278">
        <v>45081.29173611111</v>
      </c>
    </row>
    <row r="66" spans="1:2" x14ac:dyDescent="0.3">
      <c r="A66" t="s">
        <v>155</v>
      </c>
      <c r="B66" s="278">
        <v>45081.002175925925</v>
      </c>
    </row>
    <row r="67" spans="1:2" x14ac:dyDescent="0.3">
      <c r="A67" t="s">
        <v>156</v>
      </c>
      <c r="B67" s="278">
        <v>45081.001423611109</v>
      </c>
    </row>
    <row r="68" spans="1:2" x14ac:dyDescent="0.3">
      <c r="A68" t="s">
        <v>176</v>
      </c>
      <c r="B68" s="278">
        <v>45080.67763888889</v>
      </c>
    </row>
    <row r="69" spans="1:2" x14ac:dyDescent="0.3">
      <c r="A69" t="s">
        <v>176</v>
      </c>
      <c r="B69" s="278">
        <v>45080.663761574076</v>
      </c>
    </row>
    <row r="70" spans="1:2" x14ac:dyDescent="0.3">
      <c r="A70" t="s">
        <v>153</v>
      </c>
      <c r="B70" s="278">
        <v>45080.042256944442</v>
      </c>
    </row>
    <row r="71" spans="1:2" x14ac:dyDescent="0.3">
      <c r="A71" t="s">
        <v>154</v>
      </c>
      <c r="B71" s="278">
        <v>45079.751759259256</v>
      </c>
    </row>
    <row r="72" spans="1:2" x14ac:dyDescent="0.3">
      <c r="A72" t="s">
        <v>158</v>
      </c>
      <c r="B72" s="278">
        <v>45079.389502314814</v>
      </c>
    </row>
    <row r="73" spans="1:2" x14ac:dyDescent="0.3">
      <c r="A73" t="s">
        <v>152</v>
      </c>
      <c r="B73" s="278">
        <v>45078.731215277781</v>
      </c>
    </row>
    <row r="74" spans="1:2" x14ac:dyDescent="0.3">
      <c r="A74" t="s">
        <v>152</v>
      </c>
      <c r="B74" s="278">
        <v>45078.71733796296</v>
      </c>
    </row>
    <row r="75" spans="1:2" x14ac:dyDescent="0.3">
      <c r="A75" t="s">
        <v>206</v>
      </c>
      <c r="B75" s="278">
        <v>45078.700590277775</v>
      </c>
    </row>
    <row r="76" spans="1:2" x14ac:dyDescent="0.3">
      <c r="A76" t="s">
        <v>172</v>
      </c>
      <c r="B76" s="278">
        <v>45078.657627314817</v>
      </c>
    </row>
    <row r="77" spans="1:2" x14ac:dyDescent="0.3">
      <c r="A77" t="s">
        <v>162</v>
      </c>
      <c r="B77" s="278">
        <v>45078.600300925929</v>
      </c>
    </row>
    <row r="78" spans="1:2" x14ac:dyDescent="0.3">
      <c r="A78" t="s">
        <v>187</v>
      </c>
      <c r="B78" s="278">
        <v>45078.36278935185</v>
      </c>
    </row>
    <row r="79" spans="1:2" x14ac:dyDescent="0.3">
      <c r="A79" t="s">
        <v>152</v>
      </c>
      <c r="B79" s="278">
        <v>45078.334965277776</v>
      </c>
    </row>
    <row r="80" spans="1:2" x14ac:dyDescent="0.3">
      <c r="A80" t="s">
        <v>172</v>
      </c>
      <c r="B80" s="278">
        <v>45078.334085648145</v>
      </c>
    </row>
    <row r="81" spans="1:2" x14ac:dyDescent="0.3">
      <c r="A81" t="s">
        <v>152</v>
      </c>
      <c r="B81" s="278">
        <v>45078.328055555554</v>
      </c>
    </row>
    <row r="82" spans="1:2" x14ac:dyDescent="0.3">
      <c r="A82" t="s">
        <v>362</v>
      </c>
      <c r="B82" s="278">
        <v>45078.317557870374</v>
      </c>
    </row>
    <row r="83" spans="1:2" x14ac:dyDescent="0.3">
      <c r="A83" t="s">
        <v>160</v>
      </c>
      <c r="B83" s="278">
        <v>45078.239247685182</v>
      </c>
    </row>
    <row r="84" spans="1:2" x14ac:dyDescent="0.3">
      <c r="A84" t="s">
        <v>173</v>
      </c>
      <c r="B84" s="278">
        <v>45078.085196759261</v>
      </c>
    </row>
    <row r="85" spans="1:2" x14ac:dyDescent="0.3">
      <c r="A85" t="s">
        <v>195</v>
      </c>
      <c r="B85" s="278">
        <v>45078.084780092591</v>
      </c>
    </row>
    <row r="86" spans="1:2" x14ac:dyDescent="0.3">
      <c r="A86" t="s">
        <v>180</v>
      </c>
      <c r="B86" s="278">
        <v>45078.044004629628</v>
      </c>
    </row>
    <row r="87" spans="1:2" x14ac:dyDescent="0.3">
      <c r="A87" t="s">
        <v>174</v>
      </c>
      <c r="B87" s="278">
        <v>45078.043657407405</v>
      </c>
    </row>
    <row r="88" spans="1:2" x14ac:dyDescent="0.3">
      <c r="A88" t="s">
        <v>161</v>
      </c>
      <c r="B88" s="278">
        <v>45078.04351851852</v>
      </c>
    </row>
    <row r="89" spans="1:2" x14ac:dyDescent="0.3">
      <c r="A89" t="s">
        <v>167</v>
      </c>
      <c r="B89" s="278">
        <v>45078.043506944443</v>
      </c>
    </row>
    <row r="90" spans="1:2" x14ac:dyDescent="0.3">
      <c r="A90" t="s">
        <v>169</v>
      </c>
      <c r="B90" s="278">
        <v>45078.043437499997</v>
      </c>
    </row>
    <row r="91" spans="1:2" x14ac:dyDescent="0.3">
      <c r="A91" t="s">
        <v>166</v>
      </c>
      <c r="B91" s="278">
        <v>45078.043240740742</v>
      </c>
    </row>
    <row r="92" spans="1:2" x14ac:dyDescent="0.3">
      <c r="A92" t="s">
        <v>180</v>
      </c>
      <c r="B92" s="278">
        <v>45078.043229166666</v>
      </c>
    </row>
    <row r="93" spans="1:2" x14ac:dyDescent="0.3">
      <c r="A93" t="s">
        <v>179</v>
      </c>
      <c r="B93" s="278">
        <v>45078.00203703704</v>
      </c>
    </row>
    <row r="94" spans="1:2" x14ac:dyDescent="0.3">
      <c r="A94" t="s">
        <v>186</v>
      </c>
      <c r="B94" s="278">
        <v>45078.00199074074</v>
      </c>
    </row>
    <row r="95" spans="1:2" x14ac:dyDescent="0.3">
      <c r="A95" t="s">
        <v>207</v>
      </c>
      <c r="B95" s="278">
        <v>45078.001840277779</v>
      </c>
    </row>
    <row r="96" spans="1:2" x14ac:dyDescent="0.3">
      <c r="A96" t="s">
        <v>363</v>
      </c>
      <c r="B96" s="278">
        <v>45078.001840277779</v>
      </c>
    </row>
    <row r="97" spans="1:2" x14ac:dyDescent="0.3">
      <c r="A97" t="s">
        <v>203</v>
      </c>
      <c r="B97" s="278">
        <v>45078.001793981479</v>
      </c>
    </row>
    <row r="98" spans="1:2" x14ac:dyDescent="0.3">
      <c r="A98" t="s">
        <v>152</v>
      </c>
      <c r="B98" s="278">
        <v>45078.001423611109</v>
      </c>
    </row>
    <row r="99" spans="1:2" x14ac:dyDescent="0.3">
      <c r="A99" t="s">
        <v>157</v>
      </c>
      <c r="B99" s="278">
        <v>45078.000486111108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F38"/>
  <sheetViews>
    <sheetView tabSelected="1" workbookViewId="0">
      <selection activeCell="F3" sqref="F3"/>
    </sheetView>
  </sheetViews>
  <sheetFormatPr defaultRowHeight="14.4" x14ac:dyDescent="0.3"/>
  <cols>
    <col min="1" max="1" width="34" bestFit="1" customWidth="1"/>
    <col min="2" max="2" width="15.88671875" bestFit="1" customWidth="1"/>
    <col min="3" max="3" width="17.5546875" bestFit="1" customWidth="1"/>
    <col min="4" max="4" width="11.5546875" bestFit="1" customWidth="1"/>
    <col min="5" max="5" width="13.109375" bestFit="1" customWidth="1"/>
  </cols>
  <sheetData>
    <row r="1" spans="1:6" x14ac:dyDescent="0.3">
      <c r="A1" t="s">
        <v>358</v>
      </c>
      <c r="B1" t="s">
        <v>359</v>
      </c>
      <c r="C1" t="s">
        <v>364</v>
      </c>
      <c r="D1" t="s">
        <v>365</v>
      </c>
      <c r="E1" t="s">
        <v>366</v>
      </c>
      <c r="F1" t="s">
        <v>377</v>
      </c>
    </row>
    <row r="2" spans="1:6" x14ac:dyDescent="0.3">
      <c r="A2" t="s">
        <v>160</v>
      </c>
      <c r="B2" s="278">
        <v>45085.24664351852</v>
      </c>
      <c r="C2" t="s">
        <v>367</v>
      </c>
      <c r="D2">
        <v>26912</v>
      </c>
      <c r="E2">
        <v>17031</v>
      </c>
      <c r="F2">
        <f>IFERROR(MATCH(A2,CONGUAGLI!B:B,0),"X")</f>
        <v>15</v>
      </c>
    </row>
    <row r="3" spans="1:6" x14ac:dyDescent="0.3">
      <c r="A3" t="s">
        <v>163</v>
      </c>
      <c r="B3" s="278">
        <v>45084.328298611108</v>
      </c>
      <c r="C3" t="s">
        <v>368</v>
      </c>
      <c r="D3">
        <v>237262</v>
      </c>
      <c r="E3">
        <v>40034</v>
      </c>
      <c r="F3">
        <f>IFERROR(MATCH(A3,CONGUAGLI!B:B,0),"X")</f>
        <v>19</v>
      </c>
    </row>
    <row r="4" spans="1:6" x14ac:dyDescent="0.3">
      <c r="A4" t="s">
        <v>173</v>
      </c>
      <c r="B4" s="278">
        <v>45084.32571759259</v>
      </c>
      <c r="C4" t="s">
        <v>369</v>
      </c>
      <c r="D4">
        <v>394533</v>
      </c>
      <c r="E4">
        <v>21393</v>
      </c>
      <c r="F4">
        <f>IFERROR(MATCH(A4,CONGUAGLI!B:B,0),"X")</f>
        <v>45</v>
      </c>
    </row>
    <row r="5" spans="1:6" x14ac:dyDescent="0.3">
      <c r="A5" t="s">
        <v>170</v>
      </c>
      <c r="B5" s="278">
        <v>45083.7112037037</v>
      </c>
      <c r="C5" t="s">
        <v>367</v>
      </c>
      <c r="D5">
        <v>66066</v>
      </c>
      <c r="E5">
        <v>41620</v>
      </c>
      <c r="F5">
        <f>IFERROR(MATCH(A5,CONGUAGLI!B:B,0),"X")</f>
        <v>40</v>
      </c>
    </row>
    <row r="6" spans="1:6" x14ac:dyDescent="0.3">
      <c r="A6" t="s">
        <v>162</v>
      </c>
      <c r="B6" s="278">
        <v>45083.627187500002</v>
      </c>
      <c r="C6" t="s">
        <v>367</v>
      </c>
      <c r="D6">
        <v>67305</v>
      </c>
      <c r="E6">
        <v>5117</v>
      </c>
      <c r="F6">
        <f>IFERROR(MATCH(A6,CONGUAGLI!B:B,0),"X")</f>
        <v>18</v>
      </c>
    </row>
    <row r="7" spans="1:6" x14ac:dyDescent="0.3">
      <c r="A7" t="s">
        <v>175</v>
      </c>
      <c r="B7" s="278">
        <v>45083.600173611114</v>
      </c>
      <c r="C7" t="s">
        <v>368</v>
      </c>
      <c r="D7">
        <v>38531</v>
      </c>
      <c r="E7">
        <v>5872</v>
      </c>
      <c r="F7">
        <f>IFERROR(MATCH(A7,CONGUAGLI!B:B,0),"X")</f>
        <v>51</v>
      </c>
    </row>
    <row r="8" spans="1:6" x14ac:dyDescent="0.3">
      <c r="A8" t="s">
        <v>160</v>
      </c>
      <c r="B8" s="278">
        <v>45083.599537037036</v>
      </c>
      <c r="C8" t="s">
        <v>367</v>
      </c>
      <c r="D8">
        <v>26899</v>
      </c>
      <c r="E8">
        <v>17015</v>
      </c>
      <c r="F8">
        <f>IFERROR(MATCH(A8,CONGUAGLI!B:B,0),"X")</f>
        <v>15</v>
      </c>
    </row>
    <row r="9" spans="1:6" x14ac:dyDescent="0.3">
      <c r="A9" t="s">
        <v>152</v>
      </c>
      <c r="B9" s="278">
        <v>45083.490694444445</v>
      </c>
      <c r="C9" t="s">
        <v>368</v>
      </c>
      <c r="D9">
        <v>184950</v>
      </c>
      <c r="E9">
        <v>31068</v>
      </c>
      <c r="F9">
        <f>IFERROR(MATCH(A9,CONGUAGLI!B:B,0),"X")</f>
        <v>2</v>
      </c>
    </row>
    <row r="10" spans="1:6" x14ac:dyDescent="0.3">
      <c r="A10" t="s">
        <v>176</v>
      </c>
      <c r="B10" s="278">
        <v>45083.464317129627</v>
      </c>
      <c r="C10" t="s">
        <v>368</v>
      </c>
      <c r="D10">
        <v>100077</v>
      </c>
      <c r="E10">
        <v>43009</v>
      </c>
      <c r="F10">
        <f>IFERROR(MATCH(A10,CONGUAGLI!B:B,0),"X")</f>
        <v>52</v>
      </c>
    </row>
    <row r="11" spans="1:6" x14ac:dyDescent="0.3">
      <c r="A11" t="s">
        <v>172</v>
      </c>
      <c r="B11" s="278">
        <v>45083.43644675926</v>
      </c>
      <c r="C11" t="s">
        <v>368</v>
      </c>
      <c r="D11">
        <v>116380</v>
      </c>
      <c r="E11">
        <v>31169</v>
      </c>
      <c r="F11">
        <f>IFERROR(MATCH(A11,CONGUAGLI!B:B,0),"X")</f>
        <v>44</v>
      </c>
    </row>
    <row r="12" spans="1:6" x14ac:dyDescent="0.3">
      <c r="A12" t="s">
        <v>164</v>
      </c>
      <c r="B12" s="278">
        <v>45082.356782407405</v>
      </c>
      <c r="C12" t="s">
        <v>368</v>
      </c>
      <c r="D12">
        <v>41819</v>
      </c>
      <c r="E12">
        <v>34550</v>
      </c>
      <c r="F12">
        <f>IFERROR(MATCH(A12,CONGUAGLI!B:B,0),"X")</f>
        <v>20</v>
      </c>
    </row>
    <row r="13" spans="1:6" x14ac:dyDescent="0.3">
      <c r="A13" t="s">
        <v>165</v>
      </c>
      <c r="B13" s="278">
        <v>45082.325046296297</v>
      </c>
      <c r="C13" t="s">
        <v>368</v>
      </c>
      <c r="D13">
        <v>45641</v>
      </c>
      <c r="E13">
        <v>8333</v>
      </c>
      <c r="F13">
        <f>IFERROR(MATCH(A13,CONGUAGLI!B:B,0),"X")</f>
        <v>21</v>
      </c>
    </row>
    <row r="14" spans="1:6" x14ac:dyDescent="0.3">
      <c r="A14" t="s">
        <v>159</v>
      </c>
      <c r="B14" s="278">
        <v>45082.291250000002</v>
      </c>
      <c r="C14" t="s">
        <v>368</v>
      </c>
      <c r="D14">
        <v>24926</v>
      </c>
      <c r="E14">
        <v>16978</v>
      </c>
      <c r="F14">
        <f>IFERROR(MATCH(A14,CONGUAGLI!B:B,0),"X")</f>
        <v>28</v>
      </c>
    </row>
    <row r="15" spans="1:6" x14ac:dyDescent="0.3">
      <c r="A15" t="s">
        <v>158</v>
      </c>
      <c r="B15" s="278">
        <v>45082.289699074077</v>
      </c>
      <c r="C15" t="s">
        <v>368</v>
      </c>
      <c r="D15">
        <v>125354</v>
      </c>
      <c r="E15">
        <v>19284</v>
      </c>
      <c r="F15">
        <f>IFERROR(MATCH(A15,CONGUAGLI!B:B,0),"X")</f>
        <v>10</v>
      </c>
    </row>
    <row r="16" spans="1:6" x14ac:dyDescent="0.3">
      <c r="A16" t="s">
        <v>360</v>
      </c>
      <c r="B16" s="278">
        <v>45082.285439814812</v>
      </c>
      <c r="C16" t="s">
        <v>368</v>
      </c>
      <c r="D16">
        <v>21709</v>
      </c>
      <c r="E16">
        <v>46488</v>
      </c>
      <c r="F16" t="str">
        <f>IFERROR(MATCH(A16,CONGUAGLI!B:B,0),"X")</f>
        <v>X</v>
      </c>
    </row>
    <row r="17" spans="1:6" x14ac:dyDescent="0.3">
      <c r="A17" t="s">
        <v>178</v>
      </c>
      <c r="B17" s="278">
        <v>45081.960219907407</v>
      </c>
      <c r="C17" t="s">
        <v>367</v>
      </c>
      <c r="D17">
        <v>29449</v>
      </c>
      <c r="E17">
        <v>4672</v>
      </c>
      <c r="F17">
        <f>IFERROR(MATCH(A17,CONGUAGLI!B:B,0),"X")</f>
        <v>11</v>
      </c>
    </row>
    <row r="18" spans="1:6" x14ac:dyDescent="0.3">
      <c r="A18" t="s">
        <v>361</v>
      </c>
      <c r="B18" s="278">
        <v>45081.291770833333</v>
      </c>
      <c r="C18" t="s">
        <v>370</v>
      </c>
      <c r="D18">
        <v>38414</v>
      </c>
      <c r="E18">
        <v>5868</v>
      </c>
      <c r="F18" t="str">
        <f>IFERROR(MATCH(A18,CONGUAGLI!B:B,0),"X")</f>
        <v>X</v>
      </c>
    </row>
    <row r="19" spans="1:6" x14ac:dyDescent="0.3">
      <c r="A19" t="s">
        <v>155</v>
      </c>
      <c r="B19" s="278">
        <v>45081.002175925925</v>
      </c>
      <c r="C19" t="s">
        <v>371</v>
      </c>
      <c r="D19">
        <v>38414</v>
      </c>
      <c r="E19">
        <v>5868</v>
      </c>
      <c r="F19">
        <f>IFERROR(MATCH(A19,CONGUAGLI!B:B,0),"X")</f>
        <v>6</v>
      </c>
    </row>
    <row r="20" spans="1:6" x14ac:dyDescent="0.3">
      <c r="A20" t="s">
        <v>156</v>
      </c>
      <c r="B20" s="278">
        <v>45081.001423611109</v>
      </c>
      <c r="C20" t="s">
        <v>371</v>
      </c>
      <c r="D20">
        <v>38414</v>
      </c>
      <c r="E20">
        <v>5868</v>
      </c>
      <c r="F20">
        <f>IFERROR(MATCH(A20,CONGUAGLI!B:B,0),"X")</f>
        <v>7</v>
      </c>
    </row>
    <row r="21" spans="1:6" x14ac:dyDescent="0.3">
      <c r="A21" t="s">
        <v>153</v>
      </c>
      <c r="B21" s="278">
        <v>45080.042256944442</v>
      </c>
      <c r="C21" t="s">
        <v>372</v>
      </c>
      <c r="D21">
        <v>99995</v>
      </c>
      <c r="E21">
        <v>42988</v>
      </c>
      <c r="F21">
        <f>IFERROR(MATCH(A21,CONGUAGLI!B:B,0),"X")</f>
        <v>8</v>
      </c>
    </row>
    <row r="22" spans="1:6" x14ac:dyDescent="0.3">
      <c r="A22" t="s">
        <v>154</v>
      </c>
      <c r="B22" s="278">
        <v>45079.751759259256</v>
      </c>
      <c r="C22" t="s">
        <v>368</v>
      </c>
      <c r="D22">
        <v>105444</v>
      </c>
      <c r="E22">
        <v>24258</v>
      </c>
      <c r="F22">
        <f>IFERROR(MATCH(A22,CONGUAGLI!B:B,0),"X")</f>
        <v>5</v>
      </c>
    </row>
    <row r="23" spans="1:6" x14ac:dyDescent="0.3">
      <c r="A23" t="s">
        <v>206</v>
      </c>
      <c r="B23" s="278">
        <v>45078.700590277775</v>
      </c>
      <c r="C23" t="s">
        <v>368</v>
      </c>
      <c r="D23">
        <v>127663</v>
      </c>
      <c r="E23">
        <v>82149</v>
      </c>
      <c r="F23">
        <f>IFERROR(MATCH(A23,CONGUAGLI!B:B,0),"X")</f>
        <v>13</v>
      </c>
    </row>
    <row r="24" spans="1:6" x14ac:dyDescent="0.3">
      <c r="A24" t="s">
        <v>187</v>
      </c>
      <c r="B24" s="278">
        <v>45078.36278935185</v>
      </c>
      <c r="C24" t="s">
        <v>367</v>
      </c>
      <c r="D24">
        <v>19721</v>
      </c>
      <c r="E24">
        <v>4079</v>
      </c>
      <c r="F24">
        <f>IFERROR(MATCH(A24,CONGUAGLI!B:B,0),"X")</f>
        <v>35</v>
      </c>
    </row>
    <row r="25" spans="1:6" x14ac:dyDescent="0.3">
      <c r="A25" t="s">
        <v>362</v>
      </c>
      <c r="B25" s="278">
        <v>45078.317557870374</v>
      </c>
      <c r="C25" t="s">
        <v>368</v>
      </c>
      <c r="D25">
        <v>40580</v>
      </c>
      <c r="E25">
        <v>22413</v>
      </c>
      <c r="F25" t="str">
        <f>IFERROR(MATCH(A25,CONGUAGLI!B:B,0),"X")</f>
        <v>X</v>
      </c>
    </row>
    <row r="26" spans="1:6" x14ac:dyDescent="0.3">
      <c r="A26" t="s">
        <v>195</v>
      </c>
      <c r="B26" s="278">
        <v>45078.084780092591</v>
      </c>
      <c r="C26" t="s">
        <v>373</v>
      </c>
      <c r="D26">
        <v>13555</v>
      </c>
      <c r="E26">
        <v>8129</v>
      </c>
      <c r="F26">
        <f>IFERROR(MATCH(A26,CONGUAGLI!B:B,0),"X")</f>
        <v>31</v>
      </c>
    </row>
    <row r="27" spans="1:6" x14ac:dyDescent="0.3">
      <c r="A27" t="s">
        <v>180</v>
      </c>
      <c r="B27" s="278">
        <v>45078.044004629628</v>
      </c>
      <c r="C27" t="s">
        <v>374</v>
      </c>
      <c r="D27">
        <v>13555</v>
      </c>
      <c r="E27">
        <v>8129</v>
      </c>
      <c r="F27">
        <f>IFERROR(MATCH(A27,CONGUAGLI!B:B,0),"X")</f>
        <v>49</v>
      </c>
    </row>
    <row r="28" spans="1:6" x14ac:dyDescent="0.3">
      <c r="A28" t="s">
        <v>174</v>
      </c>
      <c r="B28" s="278">
        <v>45078.043657407405</v>
      </c>
      <c r="C28" t="s">
        <v>371</v>
      </c>
      <c r="D28">
        <v>13555</v>
      </c>
      <c r="E28">
        <v>8129</v>
      </c>
      <c r="F28">
        <f>IFERROR(MATCH(A28,CONGUAGLI!B:B,0),"X")</f>
        <v>50</v>
      </c>
    </row>
    <row r="29" spans="1:6" x14ac:dyDescent="0.3">
      <c r="A29" t="s">
        <v>161</v>
      </c>
      <c r="B29" s="278">
        <v>45078.04351851852</v>
      </c>
      <c r="C29" t="s">
        <v>367</v>
      </c>
      <c r="D29">
        <v>36167</v>
      </c>
      <c r="E29">
        <v>20215</v>
      </c>
      <c r="F29">
        <f>IFERROR(MATCH(A29,CONGUAGLI!B:B,0),"X")</f>
        <v>16</v>
      </c>
    </row>
    <row r="30" spans="1:6" x14ac:dyDescent="0.3">
      <c r="A30" t="s">
        <v>167</v>
      </c>
      <c r="B30" s="278">
        <v>45078.043506944443</v>
      </c>
      <c r="C30" t="s">
        <v>367</v>
      </c>
      <c r="D30">
        <v>39920</v>
      </c>
      <c r="E30">
        <v>42772</v>
      </c>
      <c r="F30">
        <f>IFERROR(MATCH(A30,CONGUAGLI!B:B,0),"X")</f>
        <v>27</v>
      </c>
    </row>
    <row r="31" spans="1:6" x14ac:dyDescent="0.3">
      <c r="A31" t="s">
        <v>169</v>
      </c>
      <c r="B31" s="278">
        <v>45078.043437499997</v>
      </c>
      <c r="C31" t="s">
        <v>375</v>
      </c>
      <c r="D31">
        <v>115529</v>
      </c>
      <c r="E31">
        <v>80855</v>
      </c>
      <c r="F31">
        <f>IFERROR(MATCH(A31,CONGUAGLI!B:B,0),"X")</f>
        <v>30</v>
      </c>
    </row>
    <row r="32" spans="1:6" x14ac:dyDescent="0.3">
      <c r="A32" t="s">
        <v>166</v>
      </c>
      <c r="B32" s="278">
        <v>45078.043240740742</v>
      </c>
      <c r="C32" t="s">
        <v>368</v>
      </c>
      <c r="D32">
        <v>71365</v>
      </c>
      <c r="E32">
        <v>33612</v>
      </c>
      <c r="F32">
        <f>IFERROR(MATCH(A32,CONGUAGLI!B:B,0),"X")</f>
        <v>22</v>
      </c>
    </row>
    <row r="33" spans="1:6" x14ac:dyDescent="0.3">
      <c r="A33" t="s">
        <v>179</v>
      </c>
      <c r="B33" s="278">
        <v>45078.00203703704</v>
      </c>
      <c r="C33" t="s">
        <v>367</v>
      </c>
      <c r="D33">
        <v>39047</v>
      </c>
      <c r="E33">
        <v>12348</v>
      </c>
      <c r="F33">
        <f>IFERROR(MATCH(A33,CONGUAGLI!B:B,0),"X")</f>
        <v>23</v>
      </c>
    </row>
    <row r="34" spans="1:6" x14ac:dyDescent="0.3">
      <c r="A34" t="s">
        <v>186</v>
      </c>
      <c r="B34" s="278">
        <v>45078.00199074074</v>
      </c>
      <c r="C34" t="s">
        <v>367</v>
      </c>
      <c r="D34">
        <v>13037</v>
      </c>
      <c r="E34">
        <v>16790</v>
      </c>
      <c r="F34">
        <f>IFERROR(MATCH(A34,CONGUAGLI!B:B,0),"X")</f>
        <v>3</v>
      </c>
    </row>
    <row r="35" spans="1:6" x14ac:dyDescent="0.3">
      <c r="A35" t="s">
        <v>207</v>
      </c>
      <c r="B35" s="278">
        <v>45078.001840277779</v>
      </c>
      <c r="C35" t="s">
        <v>373</v>
      </c>
      <c r="D35">
        <v>15803</v>
      </c>
      <c r="E35">
        <v>12172</v>
      </c>
      <c r="F35">
        <f>IFERROR(MATCH(A35,CONGUAGLI!B:B,0),"X")</f>
        <v>4</v>
      </c>
    </row>
    <row r="36" spans="1:6" x14ac:dyDescent="0.3">
      <c r="A36" t="s">
        <v>363</v>
      </c>
      <c r="B36" s="278">
        <v>45078.001840277779</v>
      </c>
      <c r="C36" t="s">
        <v>376</v>
      </c>
      <c r="D36">
        <v>15803</v>
      </c>
      <c r="E36">
        <v>12172</v>
      </c>
      <c r="F36" t="str">
        <f>IFERROR(MATCH(A36,CONGUAGLI!B:B,0),"X")</f>
        <v>X</v>
      </c>
    </row>
    <row r="37" spans="1:6" x14ac:dyDescent="0.3">
      <c r="A37" t="s">
        <v>203</v>
      </c>
      <c r="B37" s="278">
        <v>45078.001793981479</v>
      </c>
      <c r="C37" t="s">
        <v>373</v>
      </c>
      <c r="D37">
        <v>50055</v>
      </c>
      <c r="E37">
        <v>3566</v>
      </c>
      <c r="F37">
        <f>IFERROR(MATCH(A37,CONGUAGLI!B:B,0),"X")</f>
        <v>36</v>
      </c>
    </row>
    <row r="38" spans="1:6" x14ac:dyDescent="0.3">
      <c r="A38" t="s">
        <v>157</v>
      </c>
      <c r="B38" s="278">
        <v>45078.000486111108</v>
      </c>
      <c r="C38" t="s">
        <v>375</v>
      </c>
      <c r="D38">
        <v>93640</v>
      </c>
      <c r="E38">
        <v>28444</v>
      </c>
      <c r="F38">
        <f>IFERROR(MATCH(A38,CONGUAGLI!B:B,0),"X")</f>
        <v>9</v>
      </c>
    </row>
  </sheetData>
  <sortState ref="A3:C99">
    <sortCondition descending="1" ref="B2:B99"/>
  </sortState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E3:W17"/>
  <sheetViews>
    <sheetView workbookViewId="0">
      <selection activeCell="E27" sqref="E27"/>
    </sheetView>
  </sheetViews>
  <sheetFormatPr defaultRowHeight="14.4" x14ac:dyDescent="0.3"/>
  <cols>
    <col min="5" max="5" width="28.44140625" customWidth="1"/>
    <col min="6" max="6" width="11" style="1" bestFit="1" customWidth="1"/>
    <col min="7" max="7" width="11" bestFit="1" customWidth="1"/>
    <col min="18" max="18" width="13.5546875" customWidth="1"/>
  </cols>
  <sheetData>
    <row r="3" spans="5:23" x14ac:dyDescent="0.3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3">
      <c r="F4" s="200">
        <f>SUM(F6:F8)</f>
        <v>4582</v>
      </c>
      <c r="K4" s="263"/>
      <c r="R4" s="125"/>
      <c r="V4" s="125"/>
      <c r="W4" s="264"/>
    </row>
    <row r="5" spans="5:23" x14ac:dyDescent="0.3">
      <c r="K5" s="263"/>
      <c r="R5" s="125" t="s">
        <v>320</v>
      </c>
      <c r="V5" s="125" t="s">
        <v>321</v>
      </c>
      <c r="W5" s="264"/>
    </row>
    <row r="6" spans="5:23" x14ac:dyDescent="0.3">
      <c r="E6" t="s">
        <v>214</v>
      </c>
      <c r="F6" s="1">
        <v>3317</v>
      </c>
      <c r="K6" s="263"/>
      <c r="R6" s="125"/>
      <c r="V6" s="125"/>
      <c r="W6" s="264"/>
    </row>
    <row r="7" spans="5:23" x14ac:dyDescent="0.3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3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3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3">
      <c r="K10" s="263"/>
      <c r="R10" s="125"/>
      <c r="V10" s="125"/>
      <c r="W10" s="264"/>
    </row>
    <row r="11" spans="5:23" x14ac:dyDescent="0.3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3">
      <c r="K12" s="263"/>
      <c r="R12" s="125"/>
      <c r="W12" s="264"/>
    </row>
    <row r="13" spans="5:23" x14ac:dyDescent="0.3">
      <c r="K13" s="263"/>
      <c r="R13" s="125"/>
      <c r="W13" s="264"/>
    </row>
    <row r="14" spans="5:23" x14ac:dyDescent="0.3">
      <c r="K14" s="263"/>
      <c r="W14" s="264"/>
    </row>
    <row r="15" spans="5:23" x14ac:dyDescent="0.3">
      <c r="K15" s="267" t="s">
        <v>322</v>
      </c>
      <c r="L15" s="7"/>
      <c r="M15" s="7"/>
      <c r="O15">
        <f>V8+V9+L8</f>
        <v>440</v>
      </c>
      <c r="W15" s="264"/>
    </row>
    <row r="16" spans="5:23" x14ac:dyDescent="0.3">
      <c r="K16" s="263"/>
      <c r="W16" s="264"/>
    </row>
    <row r="17" spans="11:23" x14ac:dyDescent="0.3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4.4" x14ac:dyDescent="0.3"/>
  <cols>
    <col min="1" max="1" width="6.44140625" hidden="1" customWidth="1"/>
    <col min="2" max="2" width="6.88671875" customWidth="1"/>
    <col min="3" max="3" width="24.109375" customWidth="1"/>
    <col min="4" max="4" width="14.5546875" style="82" customWidth="1"/>
    <col min="5" max="5" width="17.44140625" style="23" customWidth="1"/>
    <col min="6" max="6" width="7.88671875" style="23" customWidth="1"/>
    <col min="7" max="7" width="12.109375" style="47" customWidth="1"/>
    <col min="8" max="8" width="7" style="42" customWidth="1"/>
    <col min="9" max="9" width="11" bestFit="1" customWidth="1"/>
    <col min="10" max="10" width="10.88671875" customWidth="1"/>
    <col min="11" max="11" width="10.109375" style="5" customWidth="1"/>
    <col min="12" max="12" width="6.44140625" style="3" customWidth="1"/>
    <col min="13" max="13" width="10.6640625" style="3" customWidth="1"/>
    <col min="14" max="14" width="8.6640625" customWidth="1"/>
    <col min="15" max="15" width="11.88671875" style="3" customWidth="1"/>
    <col min="16" max="16" width="9.44140625" style="3" customWidth="1"/>
    <col min="17" max="17" width="9.88671875" style="3" customWidth="1"/>
    <col min="18" max="18" width="12.109375" style="3" customWidth="1"/>
    <col min="19" max="20" width="9.33203125" style="3" bestFit="1" customWidth="1"/>
    <col min="21" max="21" width="11.5546875" style="3" customWidth="1"/>
    <col min="22" max="22" width="9.44140625" style="3" customWidth="1"/>
    <col min="23" max="23" width="9" style="3" customWidth="1"/>
    <col min="24" max="24" width="8.44140625" style="3" customWidth="1"/>
    <col min="25" max="25" width="9.109375" customWidth="1"/>
    <col min="26" max="26" width="9" customWidth="1"/>
    <col min="27" max="27" width="8.5546875" customWidth="1"/>
    <col min="28" max="28" width="9.5546875" style="7" customWidth="1"/>
    <col min="29" max="29" width="8.109375" style="7" customWidth="1"/>
    <col min="30" max="30" width="10.5546875" customWidth="1"/>
    <col min="31" max="31" width="10.33203125" customWidth="1"/>
    <col min="32" max="32" width="16" style="91" customWidth="1"/>
    <col min="33" max="33" width="16.6640625" style="91" customWidth="1"/>
  </cols>
  <sheetData>
    <row r="1" spans="1:36" ht="114" customHeight="1" x14ac:dyDescent="0.3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3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3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3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3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" thickBot="1" x14ac:dyDescent="0.35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" thickBot="1" x14ac:dyDescent="0.35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3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3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3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3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3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3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3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3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3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3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3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3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3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3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3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3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3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3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3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3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3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3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3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3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3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3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6.8" thickBot="1" x14ac:dyDescent="0.9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" thickBot="1" x14ac:dyDescent="0.35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3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3">
      <c r="C37" s="7"/>
      <c r="O37" s="131">
        <v>11834</v>
      </c>
      <c r="P37" s="14">
        <v>10355</v>
      </c>
      <c r="Q37" s="132">
        <v>1479</v>
      </c>
      <c r="R37" s="10"/>
    </row>
    <row r="38" spans="3:26" ht="15" thickBot="1" x14ac:dyDescent="0.35">
      <c r="O38" s="133" t="s">
        <v>132</v>
      </c>
      <c r="P38" s="134" t="s">
        <v>131</v>
      </c>
      <c r="Q38" s="135" t="s">
        <v>130</v>
      </c>
    </row>
  </sheetData>
  <autoFilter ref="B1:AE1">
    <sortState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Q38"/>
  <sheetViews>
    <sheetView zoomScale="85" zoomScaleNormal="85" workbookViewId="0">
      <pane ySplit="756" activePane="bottomLeft"/>
      <selection activeCell="L1" sqref="L1:L1048576"/>
      <selection pane="bottomLeft" activeCell="E24" sqref="E24"/>
    </sheetView>
  </sheetViews>
  <sheetFormatPr defaultColWidth="9.109375" defaultRowHeight="14.4" x14ac:dyDescent="0.3"/>
  <cols>
    <col min="1" max="1" width="16.5546875" style="16" customWidth="1"/>
    <col min="2" max="2" width="9.6640625" style="3" customWidth="1"/>
    <col min="3" max="3" width="23.88671875" style="7" customWidth="1"/>
    <col min="4" max="4" width="13" style="3" customWidth="1"/>
    <col min="5" max="5" width="11.44140625" style="3" customWidth="1"/>
    <col min="6" max="6" width="20.33203125" style="3" bestFit="1" customWidth="1"/>
    <col min="7" max="7" width="17" style="4" customWidth="1"/>
    <col min="8" max="8" width="19" style="4" bestFit="1" customWidth="1"/>
    <col min="9" max="9" width="19.109375" style="3" customWidth="1"/>
    <col min="10" max="10" width="14.5546875" style="3" customWidth="1"/>
    <col min="11" max="11" width="12.44140625" style="3" customWidth="1"/>
    <col min="12" max="12" width="13.5546875" style="4" customWidth="1"/>
    <col min="13" max="13" width="15.6640625" style="3" customWidth="1"/>
    <col min="14" max="14" width="18.5546875" style="3" customWidth="1"/>
    <col min="15" max="16384" width="9.109375" style="3"/>
  </cols>
  <sheetData>
    <row r="1" spans="1:17" s="14" customFormat="1" ht="27.6" x14ac:dyDescent="0.3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3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3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3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3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3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3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3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3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3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3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3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3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3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3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3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3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3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3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3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3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3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3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3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3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3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3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3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3">
      <c r="M29"/>
    </row>
    <row r="31" spans="1:17" x14ac:dyDescent="0.3">
      <c r="A31" s="3"/>
      <c r="B31" s="76" t="s">
        <v>104</v>
      </c>
      <c r="C31" s="77"/>
    </row>
    <row r="32" spans="1:17" x14ac:dyDescent="0.3">
      <c r="M32"/>
    </row>
    <row r="33" spans="1:17" x14ac:dyDescent="0.3">
      <c r="M33"/>
    </row>
    <row r="34" spans="1:17" x14ac:dyDescent="0.3">
      <c r="M34"/>
    </row>
    <row r="35" spans="1:17" s="74" customFormat="1" x14ac:dyDescent="0.3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3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3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3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/>
  <sortState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4.4" x14ac:dyDescent="0.3"/>
  <cols>
    <col min="1" max="1" width="20.88671875" customWidth="1"/>
    <col min="2" max="2" width="16.44140625" style="41" customWidth="1"/>
    <col min="3" max="3" width="17.44140625" style="23" customWidth="1"/>
    <col min="4" max="4" width="10.6640625" style="42" customWidth="1"/>
    <col min="5" max="5" width="16.33203125" style="5" customWidth="1"/>
    <col min="6" max="6" width="11" style="3" customWidth="1"/>
    <col min="7" max="7" width="18.88671875" style="3" customWidth="1"/>
    <col min="8" max="8" width="11.109375" style="3" customWidth="1"/>
    <col min="9" max="10" width="13.5546875" style="3" customWidth="1"/>
    <col min="11" max="11" width="11.44140625" style="3" bestFit="1" customWidth="1"/>
    <col min="12" max="12" width="14" style="3" bestFit="1" customWidth="1"/>
    <col min="13" max="14" width="9.33203125" style="3" bestFit="1" customWidth="1"/>
    <col min="15" max="15" width="17.88671875" style="3" bestFit="1" customWidth="1"/>
    <col min="16" max="16" width="18.33203125" style="3" bestFit="1" customWidth="1"/>
    <col min="17" max="17" width="10" style="3" customWidth="1"/>
    <col min="18" max="18" width="14.5546875" bestFit="1" customWidth="1"/>
    <col min="19" max="19" width="12.44140625" bestFit="1" customWidth="1"/>
    <col min="20" max="20" width="14.5546875" bestFit="1" customWidth="1"/>
    <col min="21" max="21" width="9.109375" style="2"/>
  </cols>
  <sheetData>
    <row r="1" spans="1:21" ht="75" customHeight="1" x14ac:dyDescent="0.3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3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3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3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3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3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3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3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3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3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3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3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3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3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3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3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3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3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3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3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3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3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3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3">
      <c r="B24" s="40"/>
      <c r="I24" s="10"/>
      <c r="L24" s="10"/>
    </row>
    <row r="25" spans="1:26" x14ac:dyDescent="0.3">
      <c r="B25" s="40"/>
      <c r="I25" s="10"/>
      <c r="L25" s="10"/>
    </row>
    <row r="26" spans="1:26" x14ac:dyDescent="0.3">
      <c r="B26" s="40"/>
      <c r="I26" s="10"/>
      <c r="L26" s="10"/>
    </row>
    <row r="27" spans="1:26" x14ac:dyDescent="0.3">
      <c r="I27" s="10"/>
      <c r="L27" s="10"/>
    </row>
    <row r="28" spans="1:26" x14ac:dyDescent="0.3">
      <c r="A28" s="7" t="s">
        <v>102</v>
      </c>
      <c r="I28" s="10"/>
      <c r="L28" s="10"/>
    </row>
    <row r="29" spans="1:26" s="63" customFormat="1" x14ac:dyDescent="0.3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3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3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3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3">
      <c r="I33" s="10"/>
      <c r="L33" s="10"/>
    </row>
    <row r="34" spans="1:14" s="3" customFormat="1" x14ac:dyDescent="0.3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3">
      <c r="I35" s="10"/>
      <c r="L35" s="10"/>
    </row>
    <row r="36" spans="1:14" x14ac:dyDescent="0.3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B3:F32"/>
  <sheetViews>
    <sheetView workbookViewId="0">
      <selection activeCell="F18" sqref="F18"/>
    </sheetView>
  </sheetViews>
  <sheetFormatPr defaultRowHeight="14.4" x14ac:dyDescent="0.3"/>
  <cols>
    <col min="2" max="2" width="42.6640625" bestFit="1" customWidth="1"/>
    <col min="3" max="3" width="9.44140625" style="1" bestFit="1" customWidth="1"/>
    <col min="4" max="4" width="3.44140625" customWidth="1"/>
    <col min="5" max="5" width="11" bestFit="1" customWidth="1"/>
    <col min="6" max="6" width="8.44140625" bestFit="1" customWidth="1"/>
  </cols>
  <sheetData>
    <row r="3" spans="2:6" x14ac:dyDescent="0.3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3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3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3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3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3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3">
      <c r="E11" s="35">
        <f>SUM(E3:E10)</f>
        <v>1128</v>
      </c>
      <c r="F11" s="35">
        <f>E11/36</f>
        <v>31.333333333333332</v>
      </c>
    </row>
    <row r="12" spans="2:6" x14ac:dyDescent="0.3">
      <c r="E12" s="35">
        <f>F12*36</f>
        <v>1800</v>
      </c>
      <c r="F12" s="36">
        <v>50</v>
      </c>
    </row>
    <row r="14" spans="2:6" x14ac:dyDescent="0.3">
      <c r="E14" s="36">
        <f>E12-E11</f>
        <v>672</v>
      </c>
    </row>
    <row r="21" spans="2:6" x14ac:dyDescent="0.3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3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3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3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3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3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3">
      <c r="E29" s="35">
        <f>SUM(E21:E28)</f>
        <v>1182</v>
      </c>
      <c r="F29" s="35">
        <f>E29/36</f>
        <v>32.833333333333336</v>
      </c>
    </row>
    <row r="30" spans="2:6" x14ac:dyDescent="0.3">
      <c r="E30" s="35">
        <f>F30*36</f>
        <v>1800</v>
      </c>
      <c r="F30" s="36">
        <v>50</v>
      </c>
    </row>
    <row r="32" spans="2:6" x14ac:dyDescent="0.3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CONGUAGLI</vt:lpstr>
      <vt:lpstr>scaduti</vt:lpstr>
      <vt:lpstr>Foglio1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2023-06-16T16:54:34Z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